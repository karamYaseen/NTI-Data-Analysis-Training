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HDD\ITI-Data Analysis using Excel-Ahmed Ismail\ITI Files\Lec Files\Day1\"/>
    </mc:Choice>
  </mc:AlternateContent>
  <xr:revisionPtr revIDLastSave="0" documentId="13_ncr:1_{579D982C-52B9-4AFC-8D11-7634D953F9D7}" xr6:coauthVersionLast="36" xr6:coauthVersionMax="36" xr10:uidLastSave="{00000000-0000-0000-0000-000000000000}"/>
  <bookViews>
    <workbookView xWindow="0" yWindow="0" windowWidth="20490" windowHeight="7425" activeTab="3" xr2:uid="{A9DA91B2-FB73-4C98-B2C1-A35502413EAF}"/>
  </bookViews>
  <sheets>
    <sheet name="R vs A" sheetId="2" r:id="rId1"/>
    <sheet name="Account Transaction" sheetId="1" r:id="rId2"/>
    <sheet name="Extra info" sheetId="3" r:id="rId3"/>
    <sheet name="Account Transaction - Solved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4" i="1"/>
  <c r="I6" i="2"/>
  <c r="I7" i="2"/>
  <c r="I8" i="2"/>
  <c r="I5" i="2"/>
  <c r="D6" i="2"/>
  <c r="D5" i="2"/>
  <c r="D7" i="2"/>
  <c r="D8" i="2"/>
  <c r="L10" i="5" l="1"/>
  <c r="L8" i="5"/>
  <c r="F5" i="5" l="1"/>
  <c r="G5" i="5" s="1"/>
  <c r="H5" i="5" s="1"/>
  <c r="F6" i="5"/>
  <c r="G6" i="5" s="1"/>
  <c r="H6" i="5" s="1"/>
  <c r="F7" i="5"/>
  <c r="G7" i="5" s="1"/>
  <c r="F8" i="5"/>
  <c r="G8" i="5" s="1"/>
  <c r="H8" i="5" s="1"/>
  <c r="F9" i="5"/>
  <c r="G9" i="5" s="1"/>
  <c r="H9" i="5" s="1"/>
  <c r="F10" i="5"/>
  <c r="G10" i="5" s="1"/>
  <c r="F11" i="5"/>
  <c r="G11" i="5" s="1"/>
  <c r="F12" i="5"/>
  <c r="G12" i="5" s="1"/>
  <c r="H12" i="5" s="1"/>
  <c r="I12" i="5" s="1"/>
  <c r="F13" i="5"/>
  <c r="G13" i="5" s="1"/>
  <c r="H13" i="5" s="1"/>
  <c r="F14" i="5"/>
  <c r="G14" i="5" s="1"/>
  <c r="F15" i="5"/>
  <c r="G15" i="5" s="1"/>
  <c r="F16" i="5"/>
  <c r="G16" i="5" s="1"/>
  <c r="F17" i="5"/>
  <c r="G17" i="5" s="1"/>
  <c r="H17" i="5" s="1"/>
  <c r="F18" i="5"/>
  <c r="G18" i="5" s="1"/>
  <c r="F4" i="5"/>
  <c r="G4" i="5" s="1"/>
  <c r="H4" i="5" l="1"/>
  <c r="I4" i="5" s="1"/>
  <c r="H14" i="5"/>
  <c r="I14" i="5" s="1"/>
  <c r="H18" i="5"/>
  <c r="I18" i="5" s="1"/>
  <c r="I17" i="5"/>
  <c r="H16" i="5"/>
  <c r="I16" i="5" s="1"/>
  <c r="H15" i="5"/>
  <c r="I15" i="5" s="1"/>
  <c r="I13" i="5"/>
  <c r="H11" i="5"/>
  <c r="I11" i="5" s="1"/>
  <c r="H10" i="5"/>
  <c r="I10" i="5" s="1"/>
  <c r="I9" i="5"/>
  <c r="I8" i="5"/>
  <c r="H7" i="5"/>
  <c r="I7" i="5" s="1"/>
  <c r="I6" i="5"/>
  <c r="I5" i="5"/>
  <c r="L7" i="5" l="1"/>
  <c r="L4" i="5"/>
  <c r="L6" i="5"/>
  <c r="L5" i="5"/>
  <c r="L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Ismail</author>
  </authors>
  <commentList>
    <comment ref="F3" authorId="0" shapeId="0" xr:uid="{82AB5FA6-5F1E-40D6-952A-A85398A006CF}">
      <text>
        <r>
          <rPr>
            <b/>
            <sz val="14"/>
            <color indexed="81"/>
            <rFont val="Tahoma"/>
            <family val="2"/>
          </rPr>
          <t>Ahmed Ismail:</t>
        </r>
        <r>
          <rPr>
            <sz val="14"/>
            <color indexed="81"/>
            <rFont val="Tahoma"/>
            <family val="2"/>
          </rPr>
          <t xml:space="preserve">
From Extra info Sheet
</t>
        </r>
      </text>
    </comment>
    <comment ref="G3" authorId="0" shapeId="0" xr:uid="{C5E94688-0A79-40D3-A999-1F43F7C719BD}">
      <text>
        <r>
          <rPr>
            <b/>
            <sz val="14"/>
            <color indexed="81"/>
            <rFont val="Tahoma"/>
            <family val="2"/>
          </rPr>
          <t>Ahmed Ismail:</t>
        </r>
        <r>
          <rPr>
            <sz val="14"/>
            <color indexed="81"/>
            <rFont val="Tahoma"/>
            <family val="2"/>
          </rPr>
          <t xml:space="preserve">
amount+transportation+Extra fees</t>
        </r>
      </text>
    </comment>
    <comment ref="H3" authorId="0" shapeId="0" xr:uid="{2EA14090-2DF4-4291-B2FA-502CB33F89F8}">
      <text>
        <r>
          <rPr>
            <b/>
            <sz val="14"/>
            <color indexed="81"/>
            <rFont val="Tahoma"/>
            <family val="2"/>
          </rPr>
          <t>Ahmed Ismail:</t>
        </r>
        <r>
          <rPr>
            <sz val="14"/>
            <color indexed="81"/>
            <rFont val="Tahoma"/>
            <family val="2"/>
          </rPr>
          <t xml:space="preserve">
From Extra info Sheet
</t>
        </r>
      </text>
    </comment>
    <comment ref="I3" authorId="0" shapeId="0" xr:uid="{5B486D24-D64E-4971-82C2-62E984B5FBDA}">
      <text>
        <r>
          <rPr>
            <b/>
            <sz val="12"/>
            <color indexed="81"/>
            <rFont val="Tahoma"/>
            <family val="2"/>
          </rPr>
          <t>Ahmed Ismail:</t>
        </r>
        <r>
          <rPr>
            <sz val="12"/>
            <color indexed="81"/>
            <rFont val="Tahoma"/>
            <family val="2"/>
          </rPr>
          <t xml:space="preserve">
Total Amount+Tax Amount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Ismail</author>
  </authors>
  <commentList>
    <comment ref="F3" authorId="0" shapeId="0" xr:uid="{6A7B7373-023E-4652-92CC-E0968A6C3B48}">
      <text>
        <r>
          <rPr>
            <b/>
            <sz val="14"/>
            <color indexed="81"/>
            <rFont val="Tahoma"/>
            <family val="2"/>
          </rPr>
          <t>Ahmed Ismail:</t>
        </r>
        <r>
          <rPr>
            <sz val="14"/>
            <color indexed="81"/>
            <rFont val="Tahoma"/>
            <family val="2"/>
          </rPr>
          <t xml:space="preserve">
From Extra info Sheet
</t>
        </r>
      </text>
    </comment>
    <comment ref="G3" authorId="0" shapeId="0" xr:uid="{715EB9E9-FD76-4BA8-B9BC-13EB7834D14F}">
      <text>
        <r>
          <rPr>
            <b/>
            <sz val="14"/>
            <color indexed="81"/>
            <rFont val="Tahoma"/>
            <family val="2"/>
          </rPr>
          <t>Ahmed Ismail:</t>
        </r>
        <r>
          <rPr>
            <sz val="14"/>
            <color indexed="81"/>
            <rFont val="Tahoma"/>
            <family val="2"/>
          </rPr>
          <t xml:space="preserve">
amount+transportation+Extra fees</t>
        </r>
      </text>
    </comment>
    <comment ref="H3" authorId="0" shapeId="0" xr:uid="{5F887D46-C382-4B51-BAC3-852151143E25}">
      <text>
        <r>
          <rPr>
            <b/>
            <sz val="14"/>
            <color indexed="81"/>
            <rFont val="Tahoma"/>
            <family val="2"/>
          </rPr>
          <t>Ahmed Ismail:</t>
        </r>
        <r>
          <rPr>
            <sz val="14"/>
            <color indexed="81"/>
            <rFont val="Tahoma"/>
            <family val="2"/>
          </rPr>
          <t xml:space="preserve">
From Extra info Sheet
</t>
        </r>
      </text>
    </comment>
    <comment ref="I3" authorId="0" shapeId="0" xr:uid="{0F25BFC2-CC2B-4EBE-AA30-84411386E872}">
      <text>
        <r>
          <rPr>
            <b/>
            <sz val="12"/>
            <color indexed="81"/>
            <rFont val="Tahoma"/>
            <family val="2"/>
          </rPr>
          <t>Ahmed Ismail:</t>
        </r>
        <r>
          <rPr>
            <sz val="12"/>
            <color indexed="81"/>
            <rFont val="Tahoma"/>
            <family val="2"/>
          </rPr>
          <t xml:space="preserve">
Total Amount+Tax Amount</t>
        </r>
      </text>
    </comment>
  </commentList>
</comments>
</file>

<file path=xl/sharedStrings.xml><?xml version="1.0" encoding="utf-8"?>
<sst xmlns="http://schemas.openxmlformats.org/spreadsheetml/2006/main" count="119" uniqueCount="55">
  <si>
    <t>Min</t>
  </si>
  <si>
    <t>Max</t>
  </si>
  <si>
    <t>Relative</t>
  </si>
  <si>
    <t>Absolute</t>
  </si>
  <si>
    <t>P</t>
  </si>
  <si>
    <t>Q</t>
  </si>
  <si>
    <t>Price</t>
  </si>
  <si>
    <t>Amount</t>
  </si>
  <si>
    <t>A</t>
  </si>
  <si>
    <t>B</t>
  </si>
  <si>
    <t>C</t>
  </si>
  <si>
    <t>D</t>
  </si>
  <si>
    <t>Avg</t>
  </si>
  <si>
    <t>Relative &amp; Absolute</t>
  </si>
  <si>
    <t>$</t>
  </si>
  <si>
    <t>F4</t>
  </si>
  <si>
    <t>Fn+F4</t>
  </si>
  <si>
    <t>Extra Fees</t>
  </si>
  <si>
    <t>Tax</t>
  </si>
  <si>
    <t>Transportation</t>
  </si>
  <si>
    <t>SN</t>
  </si>
  <si>
    <t>Branch</t>
  </si>
  <si>
    <t xml:space="preserve"> Amount</t>
  </si>
  <si>
    <t>Tax Amount</t>
  </si>
  <si>
    <t>Total Amount</t>
  </si>
  <si>
    <t>Total Amount after Tax</t>
  </si>
  <si>
    <t>Cairo</t>
  </si>
  <si>
    <t>Account Transaction</t>
  </si>
  <si>
    <t>Account Transaction - Solved</t>
  </si>
  <si>
    <t>First Order(date):</t>
  </si>
  <si>
    <t>Date of Latest Order:</t>
  </si>
  <si>
    <t>Order Date</t>
  </si>
  <si>
    <t>Largest Tax</t>
  </si>
  <si>
    <t>First Order(date)</t>
  </si>
  <si>
    <t>Date of Latest Order</t>
  </si>
  <si>
    <t>Suez</t>
  </si>
  <si>
    <t>Tanta</t>
  </si>
  <si>
    <t>October</t>
  </si>
  <si>
    <t>Smart Village</t>
  </si>
  <si>
    <t>Ahmed Alaa</t>
  </si>
  <si>
    <t>Amin elgebaly</t>
  </si>
  <si>
    <t>Ibrahim Ali</t>
  </si>
  <si>
    <t>atef tareq</t>
  </si>
  <si>
    <t>Merit Amr</t>
  </si>
  <si>
    <t>Mohamed Elshahed</t>
  </si>
  <si>
    <t>mohamed hosam</t>
  </si>
  <si>
    <t>shehta fouad</t>
  </si>
  <si>
    <t>Moataz Mohamed</t>
  </si>
  <si>
    <t>mohamed ahmed</t>
  </si>
  <si>
    <t>hamada Sayed</t>
  </si>
  <si>
    <t>Sayed Abo-Liela</t>
  </si>
  <si>
    <t>Aya Raouf</t>
  </si>
  <si>
    <t>Rasha Maher</t>
  </si>
  <si>
    <t>fady ibrahim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</si>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</sst>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rgb="FF333333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8"/>
      <color rgb="FF002060"/>
      <name val="Calibri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indexed="63"/>
      <name val="Calibri"/>
      <family val="2"/>
    </font>
    <font>
      <b/>
      <sz val="20"/>
      <color rgb="FF333333"/>
      <name val="Calibri"/>
      <family val="2"/>
      <scheme val="minor"/>
    </font>
    <font>
      <sz val="2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9" borderId="0" applyNumberFormat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9" borderId="1" xfId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 readingOrder="1"/>
    </xf>
    <xf numFmtId="14" fontId="4" fillId="0" borderId="1" xfId="0" applyNumberFormat="1" applyFont="1" applyBorder="1" applyAlignment="1">
      <alignment horizontal="center" vertical="center" wrapText="1" readingOrder="1"/>
    </xf>
    <xf numFmtId="0" fontId="1" fillId="5" borderId="0" xfId="0" applyFont="1" applyFill="1"/>
    <xf numFmtId="0" fontId="14" fillId="0" borderId="0" xfId="0" applyFont="1"/>
    <xf numFmtId="0" fontId="15" fillId="0" borderId="1" xfId="0" applyNumberFormat="1" applyFont="1" applyBorder="1" applyAlignment="1">
      <alignment horizontal="center" vertical="center" wrapText="1" readingOrder="1"/>
    </xf>
    <xf numFmtId="14" fontId="15" fillId="0" borderId="1" xfId="0" applyNumberFormat="1" applyFont="1" applyBorder="1" applyAlignment="1">
      <alignment horizontal="center" vertical="center" wrapText="1" readingOrder="1"/>
    </xf>
    <xf numFmtId="1" fontId="16" fillId="5" borderId="1" xfId="0" applyNumberFormat="1" applyFont="1" applyFill="1" applyBorder="1" applyAlignment="1">
      <alignment horizontal="center" vertical="center" wrapText="1" readingOrder="1"/>
    </xf>
    <xf numFmtId="1" fontId="15" fillId="3" borderId="1" xfId="0" applyNumberFormat="1" applyFont="1" applyFill="1" applyBorder="1" applyAlignment="1">
      <alignment horizontal="center" vertical="center" wrapText="1" readingOrder="1"/>
    </xf>
    <xf numFmtId="14" fontId="15" fillId="3" borderId="1" xfId="0" applyNumberFormat="1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center"/>
    </xf>
    <xf numFmtId="0" fontId="17" fillId="0" borderId="0" xfId="0" applyFont="1" applyBorder="1" applyAlignment="1">
      <alignment vertical="center" readingOrder="2"/>
    </xf>
    <xf numFmtId="0" fontId="18" fillId="0" borderId="0" xfId="0" applyFont="1" applyBorder="1" applyAlignment="1">
      <alignment vertical="center" readingOrder="2"/>
    </xf>
    <xf numFmtId="0" fontId="14" fillId="0" borderId="0" xfId="0" applyFont="1" applyBorder="1" applyAlignment="1">
      <alignment vertical="center"/>
    </xf>
    <xf numFmtId="1" fontId="14" fillId="0" borderId="0" xfId="0" applyNumberFormat="1" applyFont="1"/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horizontal="right" vertical="center" readingOrder="2"/>
    </xf>
    <xf numFmtId="0" fontId="19" fillId="0" borderId="0" xfId="0" applyFont="1"/>
    <xf numFmtId="0" fontId="5" fillId="4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1" fillId="10" borderId="0" xfId="0" applyFont="1" applyFill="1" applyBorder="1" applyAlignment="1">
      <alignment horizontal="center" vertical="center" wrapText="1" readingOrder="1"/>
    </xf>
    <xf numFmtId="0" fontId="18" fillId="0" borderId="0" xfId="0" applyFont="1" applyBorder="1" applyAlignment="1">
      <alignment horizontal="right" vertical="center" readingOrder="2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F4BB-2987-4C1E-93D3-C09050C93AFC}">
  <dimension ref="A1:I8"/>
  <sheetViews>
    <sheetView zoomScale="140" zoomScaleNormal="140" workbookViewId="0">
      <selection activeCell="G8" sqref="G8"/>
    </sheetView>
  </sheetViews>
  <sheetFormatPr defaultRowHeight="23.25" x14ac:dyDescent="0.25"/>
  <cols>
    <col min="1" max="3" width="9.140625" style="5"/>
    <col min="4" max="4" width="13" style="5" bestFit="1" customWidth="1"/>
    <col min="5" max="7" width="9.140625" style="5"/>
    <col min="8" max="8" width="17.5703125" style="5" customWidth="1"/>
    <col min="9" max="9" width="19.140625" style="5" customWidth="1"/>
    <col min="10" max="13" width="9.140625" style="5"/>
    <col min="14" max="14" width="13.140625" style="5" bestFit="1" customWidth="1"/>
    <col min="15" max="16384" width="9.140625" style="5"/>
  </cols>
  <sheetData>
    <row r="1" spans="1:9" x14ac:dyDescent="0.25">
      <c r="A1" s="38" t="s">
        <v>13</v>
      </c>
      <c r="B1" s="38"/>
      <c r="C1" s="38"/>
      <c r="D1" s="38"/>
      <c r="G1" s="13" t="s">
        <v>14</v>
      </c>
      <c r="H1" s="13" t="s">
        <v>15</v>
      </c>
      <c r="I1" s="13" t="s">
        <v>16</v>
      </c>
    </row>
    <row r="3" spans="1:9" x14ac:dyDescent="0.25">
      <c r="A3" s="37" t="s">
        <v>2</v>
      </c>
      <c r="B3" s="37"/>
      <c r="C3" s="37"/>
      <c r="D3" s="37"/>
      <c r="F3" s="37" t="s">
        <v>3</v>
      </c>
      <c r="G3" s="37"/>
      <c r="H3" s="37"/>
      <c r="I3" s="37"/>
    </row>
    <row r="4" spans="1:9" x14ac:dyDescent="0.25">
      <c r="A4" s="12" t="s">
        <v>4</v>
      </c>
      <c r="B4" s="12" t="s">
        <v>5</v>
      </c>
      <c r="C4" s="12" t="s">
        <v>6</v>
      </c>
      <c r="D4" s="12" t="s">
        <v>7</v>
      </c>
      <c r="F4" s="6" t="s">
        <v>4</v>
      </c>
      <c r="G4" s="6" t="s">
        <v>5</v>
      </c>
      <c r="H4" s="6" t="s">
        <v>6</v>
      </c>
      <c r="I4" s="6" t="s">
        <v>7</v>
      </c>
    </row>
    <row r="5" spans="1:9" x14ac:dyDescent="0.25">
      <c r="A5" s="6" t="s">
        <v>8</v>
      </c>
      <c r="B5" s="6">
        <v>4</v>
      </c>
      <c r="C5" s="6">
        <v>10</v>
      </c>
      <c r="D5" s="10">
        <f>B5*C5</f>
        <v>40</v>
      </c>
      <c r="F5" s="6" t="s">
        <v>8</v>
      </c>
      <c r="G5" s="6">
        <v>10</v>
      </c>
      <c r="H5" s="7">
        <v>40</v>
      </c>
      <c r="I5" s="11">
        <f>G5*$H$5</f>
        <v>400</v>
      </c>
    </row>
    <row r="6" spans="1:9" x14ac:dyDescent="0.25">
      <c r="A6" s="6" t="s">
        <v>9</v>
      </c>
      <c r="B6" s="6">
        <v>1</v>
      </c>
      <c r="C6" s="6">
        <v>2</v>
      </c>
      <c r="D6" s="10">
        <f>B6*C6</f>
        <v>2</v>
      </c>
      <c r="F6" s="6" t="s">
        <v>9</v>
      </c>
      <c r="G6" s="6">
        <v>1</v>
      </c>
      <c r="H6" s="6">
        <v>2</v>
      </c>
      <c r="I6" s="11">
        <f t="shared" ref="I6:I8" si="0">G6*$H$5</f>
        <v>40</v>
      </c>
    </row>
    <row r="7" spans="1:9" x14ac:dyDescent="0.25">
      <c r="A7" s="6" t="s">
        <v>10</v>
      </c>
      <c r="B7" s="6">
        <v>3</v>
      </c>
      <c r="C7" s="6">
        <v>3</v>
      </c>
      <c r="D7" s="10">
        <f t="shared" ref="D7:D8" si="1">B7*C7</f>
        <v>9</v>
      </c>
      <c r="F7" s="6" t="s">
        <v>10</v>
      </c>
      <c r="G7" s="6">
        <v>3</v>
      </c>
      <c r="H7" s="6">
        <v>3</v>
      </c>
      <c r="I7" s="11">
        <f t="shared" si="0"/>
        <v>120</v>
      </c>
    </row>
    <row r="8" spans="1:9" x14ac:dyDescent="0.25">
      <c r="A8" s="6" t="s">
        <v>11</v>
      </c>
      <c r="B8" s="6">
        <v>3</v>
      </c>
      <c r="C8" s="6">
        <v>4</v>
      </c>
      <c r="D8" s="10">
        <f t="shared" si="1"/>
        <v>12</v>
      </c>
      <c r="F8" s="6" t="s">
        <v>11</v>
      </c>
      <c r="G8" s="6">
        <v>4</v>
      </c>
      <c r="H8" s="6">
        <v>4</v>
      </c>
      <c r="I8" s="11">
        <f t="shared" si="0"/>
        <v>160</v>
      </c>
    </row>
  </sheetData>
  <mergeCells count="3">
    <mergeCell ref="A3:D3"/>
    <mergeCell ref="F3:I3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9774-0D80-48E3-BEF1-40DED3E7E816}">
  <sheetPr>
    <tabColor theme="7" tint="0.39997558519241921"/>
  </sheetPr>
  <dimension ref="A1:N18"/>
  <sheetViews>
    <sheetView zoomScale="70" zoomScaleNormal="70" workbookViewId="0">
      <selection activeCell="G4" sqref="G4:I4"/>
    </sheetView>
  </sheetViews>
  <sheetFormatPr defaultColWidth="30.28515625" defaultRowHeight="48" customHeight="1" x14ac:dyDescent="0.5"/>
  <cols>
    <col min="1" max="1" width="9.5703125" style="1" customWidth="1"/>
    <col min="2" max="2" width="20.140625" style="1" customWidth="1"/>
    <col min="3" max="3" width="27.140625" style="1" customWidth="1"/>
    <col min="4" max="4" width="20.7109375" style="1" bestFit="1" customWidth="1"/>
    <col min="5" max="5" width="20.85546875" style="1" customWidth="1"/>
    <col min="6" max="6" width="23.42578125" style="1" bestFit="1" customWidth="1"/>
    <col min="7" max="7" width="19.7109375" style="1" customWidth="1"/>
    <col min="8" max="8" width="23" style="36" bestFit="1" customWidth="1"/>
    <col min="9" max="9" width="23.7109375" style="1" customWidth="1"/>
    <col min="10" max="10" width="4" style="1" customWidth="1"/>
    <col min="11" max="11" width="33.140625" style="1" customWidth="1"/>
    <col min="12" max="12" width="26.42578125" style="1" customWidth="1"/>
    <col min="13" max="253" width="30.28515625" style="1"/>
    <col min="254" max="254" width="7.140625" style="1" customWidth="1"/>
    <col min="255" max="255" width="30.28515625" style="1"/>
    <col min="256" max="259" width="25.7109375" style="1" customWidth="1"/>
    <col min="260" max="260" width="29.85546875" style="1" customWidth="1"/>
    <col min="261" max="509" width="30.28515625" style="1"/>
    <col min="510" max="510" width="7.140625" style="1" customWidth="1"/>
    <col min="511" max="511" width="30.28515625" style="1"/>
    <col min="512" max="515" width="25.7109375" style="1" customWidth="1"/>
    <col min="516" max="516" width="29.85546875" style="1" customWidth="1"/>
    <col min="517" max="765" width="30.28515625" style="1"/>
    <col min="766" max="766" width="7.140625" style="1" customWidth="1"/>
    <col min="767" max="767" width="30.28515625" style="1"/>
    <col min="768" max="771" width="25.7109375" style="1" customWidth="1"/>
    <col min="772" max="772" width="29.85546875" style="1" customWidth="1"/>
    <col min="773" max="1021" width="30.28515625" style="1"/>
    <col min="1022" max="1022" width="7.140625" style="1" customWidth="1"/>
    <col min="1023" max="1023" width="30.28515625" style="1"/>
    <col min="1024" max="1027" width="25.7109375" style="1" customWidth="1"/>
    <col min="1028" max="1028" width="29.85546875" style="1" customWidth="1"/>
    <col min="1029" max="1277" width="30.28515625" style="1"/>
    <col min="1278" max="1278" width="7.140625" style="1" customWidth="1"/>
    <col min="1279" max="1279" width="30.28515625" style="1"/>
    <col min="1280" max="1283" width="25.7109375" style="1" customWidth="1"/>
    <col min="1284" max="1284" width="29.85546875" style="1" customWidth="1"/>
    <col min="1285" max="1533" width="30.28515625" style="1"/>
    <col min="1534" max="1534" width="7.140625" style="1" customWidth="1"/>
    <col min="1535" max="1535" width="30.28515625" style="1"/>
    <col min="1536" max="1539" width="25.7109375" style="1" customWidth="1"/>
    <col min="1540" max="1540" width="29.85546875" style="1" customWidth="1"/>
    <col min="1541" max="1789" width="30.28515625" style="1"/>
    <col min="1790" max="1790" width="7.140625" style="1" customWidth="1"/>
    <col min="1791" max="1791" width="30.28515625" style="1"/>
    <col min="1792" max="1795" width="25.7109375" style="1" customWidth="1"/>
    <col min="1796" max="1796" width="29.85546875" style="1" customWidth="1"/>
    <col min="1797" max="2045" width="30.28515625" style="1"/>
    <col min="2046" max="2046" width="7.140625" style="1" customWidth="1"/>
    <col min="2047" max="2047" width="30.28515625" style="1"/>
    <col min="2048" max="2051" width="25.7109375" style="1" customWidth="1"/>
    <col min="2052" max="2052" width="29.85546875" style="1" customWidth="1"/>
    <col min="2053" max="2301" width="30.28515625" style="1"/>
    <col min="2302" max="2302" width="7.140625" style="1" customWidth="1"/>
    <col min="2303" max="2303" width="30.28515625" style="1"/>
    <col min="2304" max="2307" width="25.7109375" style="1" customWidth="1"/>
    <col min="2308" max="2308" width="29.85546875" style="1" customWidth="1"/>
    <col min="2309" max="2557" width="30.28515625" style="1"/>
    <col min="2558" max="2558" width="7.140625" style="1" customWidth="1"/>
    <col min="2559" max="2559" width="30.28515625" style="1"/>
    <col min="2560" max="2563" width="25.7109375" style="1" customWidth="1"/>
    <col min="2564" max="2564" width="29.85546875" style="1" customWidth="1"/>
    <col min="2565" max="2813" width="30.28515625" style="1"/>
    <col min="2814" max="2814" width="7.140625" style="1" customWidth="1"/>
    <col min="2815" max="2815" width="30.28515625" style="1"/>
    <col min="2816" max="2819" width="25.7109375" style="1" customWidth="1"/>
    <col min="2820" max="2820" width="29.85546875" style="1" customWidth="1"/>
    <col min="2821" max="3069" width="30.28515625" style="1"/>
    <col min="3070" max="3070" width="7.140625" style="1" customWidth="1"/>
    <col min="3071" max="3071" width="30.28515625" style="1"/>
    <col min="3072" max="3075" width="25.7109375" style="1" customWidth="1"/>
    <col min="3076" max="3076" width="29.85546875" style="1" customWidth="1"/>
    <col min="3077" max="3325" width="30.28515625" style="1"/>
    <col min="3326" max="3326" width="7.140625" style="1" customWidth="1"/>
    <col min="3327" max="3327" width="30.28515625" style="1"/>
    <col min="3328" max="3331" width="25.7109375" style="1" customWidth="1"/>
    <col min="3332" max="3332" width="29.85546875" style="1" customWidth="1"/>
    <col min="3333" max="3581" width="30.28515625" style="1"/>
    <col min="3582" max="3582" width="7.140625" style="1" customWidth="1"/>
    <col min="3583" max="3583" width="30.28515625" style="1"/>
    <col min="3584" max="3587" width="25.7109375" style="1" customWidth="1"/>
    <col min="3588" max="3588" width="29.85546875" style="1" customWidth="1"/>
    <col min="3589" max="3837" width="30.28515625" style="1"/>
    <col min="3838" max="3838" width="7.140625" style="1" customWidth="1"/>
    <col min="3839" max="3839" width="30.28515625" style="1"/>
    <col min="3840" max="3843" width="25.7109375" style="1" customWidth="1"/>
    <col min="3844" max="3844" width="29.85546875" style="1" customWidth="1"/>
    <col min="3845" max="4093" width="30.28515625" style="1"/>
    <col min="4094" max="4094" width="7.140625" style="1" customWidth="1"/>
    <col min="4095" max="4095" width="30.28515625" style="1"/>
    <col min="4096" max="4099" width="25.7109375" style="1" customWidth="1"/>
    <col min="4100" max="4100" width="29.85546875" style="1" customWidth="1"/>
    <col min="4101" max="4349" width="30.28515625" style="1"/>
    <col min="4350" max="4350" width="7.140625" style="1" customWidth="1"/>
    <col min="4351" max="4351" width="30.28515625" style="1"/>
    <col min="4352" max="4355" width="25.7109375" style="1" customWidth="1"/>
    <col min="4356" max="4356" width="29.85546875" style="1" customWidth="1"/>
    <col min="4357" max="4605" width="30.28515625" style="1"/>
    <col min="4606" max="4606" width="7.140625" style="1" customWidth="1"/>
    <col min="4607" max="4607" width="30.28515625" style="1"/>
    <col min="4608" max="4611" width="25.7109375" style="1" customWidth="1"/>
    <col min="4612" max="4612" width="29.85546875" style="1" customWidth="1"/>
    <col min="4613" max="4861" width="30.28515625" style="1"/>
    <col min="4862" max="4862" width="7.140625" style="1" customWidth="1"/>
    <col min="4863" max="4863" width="30.28515625" style="1"/>
    <col min="4864" max="4867" width="25.7109375" style="1" customWidth="1"/>
    <col min="4868" max="4868" width="29.85546875" style="1" customWidth="1"/>
    <col min="4869" max="5117" width="30.28515625" style="1"/>
    <col min="5118" max="5118" width="7.140625" style="1" customWidth="1"/>
    <col min="5119" max="5119" width="30.28515625" style="1"/>
    <col min="5120" max="5123" width="25.7109375" style="1" customWidth="1"/>
    <col min="5124" max="5124" width="29.85546875" style="1" customWidth="1"/>
    <col min="5125" max="5373" width="30.28515625" style="1"/>
    <col min="5374" max="5374" width="7.140625" style="1" customWidth="1"/>
    <col min="5375" max="5375" width="30.28515625" style="1"/>
    <col min="5376" max="5379" width="25.7109375" style="1" customWidth="1"/>
    <col min="5380" max="5380" width="29.85546875" style="1" customWidth="1"/>
    <col min="5381" max="5629" width="30.28515625" style="1"/>
    <col min="5630" max="5630" width="7.140625" style="1" customWidth="1"/>
    <col min="5631" max="5631" width="30.28515625" style="1"/>
    <col min="5632" max="5635" width="25.7109375" style="1" customWidth="1"/>
    <col min="5636" max="5636" width="29.85546875" style="1" customWidth="1"/>
    <col min="5637" max="5885" width="30.28515625" style="1"/>
    <col min="5886" max="5886" width="7.140625" style="1" customWidth="1"/>
    <col min="5887" max="5887" width="30.28515625" style="1"/>
    <col min="5888" max="5891" width="25.7109375" style="1" customWidth="1"/>
    <col min="5892" max="5892" width="29.85546875" style="1" customWidth="1"/>
    <col min="5893" max="6141" width="30.28515625" style="1"/>
    <col min="6142" max="6142" width="7.140625" style="1" customWidth="1"/>
    <col min="6143" max="6143" width="30.28515625" style="1"/>
    <col min="6144" max="6147" width="25.7109375" style="1" customWidth="1"/>
    <col min="6148" max="6148" width="29.85546875" style="1" customWidth="1"/>
    <col min="6149" max="6397" width="30.28515625" style="1"/>
    <col min="6398" max="6398" width="7.140625" style="1" customWidth="1"/>
    <col min="6399" max="6399" width="30.28515625" style="1"/>
    <col min="6400" max="6403" width="25.7109375" style="1" customWidth="1"/>
    <col min="6404" max="6404" width="29.85546875" style="1" customWidth="1"/>
    <col min="6405" max="6653" width="30.28515625" style="1"/>
    <col min="6654" max="6654" width="7.140625" style="1" customWidth="1"/>
    <col min="6655" max="6655" width="30.28515625" style="1"/>
    <col min="6656" max="6659" width="25.7109375" style="1" customWidth="1"/>
    <col min="6660" max="6660" width="29.85546875" style="1" customWidth="1"/>
    <col min="6661" max="6909" width="30.28515625" style="1"/>
    <col min="6910" max="6910" width="7.140625" style="1" customWidth="1"/>
    <col min="6911" max="6911" width="30.28515625" style="1"/>
    <col min="6912" max="6915" width="25.7109375" style="1" customWidth="1"/>
    <col min="6916" max="6916" width="29.85546875" style="1" customWidth="1"/>
    <col min="6917" max="7165" width="30.28515625" style="1"/>
    <col min="7166" max="7166" width="7.140625" style="1" customWidth="1"/>
    <col min="7167" max="7167" width="30.28515625" style="1"/>
    <col min="7168" max="7171" width="25.7109375" style="1" customWidth="1"/>
    <col min="7172" max="7172" width="29.85546875" style="1" customWidth="1"/>
    <col min="7173" max="7421" width="30.28515625" style="1"/>
    <col min="7422" max="7422" width="7.140625" style="1" customWidth="1"/>
    <col min="7423" max="7423" width="30.28515625" style="1"/>
    <col min="7424" max="7427" width="25.7109375" style="1" customWidth="1"/>
    <col min="7428" max="7428" width="29.85546875" style="1" customWidth="1"/>
    <col min="7429" max="7677" width="30.28515625" style="1"/>
    <col min="7678" max="7678" width="7.140625" style="1" customWidth="1"/>
    <col min="7679" max="7679" width="30.28515625" style="1"/>
    <col min="7680" max="7683" width="25.7109375" style="1" customWidth="1"/>
    <col min="7684" max="7684" width="29.85546875" style="1" customWidth="1"/>
    <col min="7685" max="7933" width="30.28515625" style="1"/>
    <col min="7934" max="7934" width="7.140625" style="1" customWidth="1"/>
    <col min="7935" max="7935" width="30.28515625" style="1"/>
    <col min="7936" max="7939" width="25.7109375" style="1" customWidth="1"/>
    <col min="7940" max="7940" width="29.85546875" style="1" customWidth="1"/>
    <col min="7941" max="8189" width="30.28515625" style="1"/>
    <col min="8190" max="8190" width="7.140625" style="1" customWidth="1"/>
    <col min="8191" max="8191" width="30.28515625" style="1"/>
    <col min="8192" max="8195" width="25.7109375" style="1" customWidth="1"/>
    <col min="8196" max="8196" width="29.85546875" style="1" customWidth="1"/>
    <col min="8197" max="8445" width="30.28515625" style="1"/>
    <col min="8446" max="8446" width="7.140625" style="1" customWidth="1"/>
    <col min="8447" max="8447" width="30.28515625" style="1"/>
    <col min="8448" max="8451" width="25.7109375" style="1" customWidth="1"/>
    <col min="8452" max="8452" width="29.85546875" style="1" customWidth="1"/>
    <col min="8453" max="8701" width="30.28515625" style="1"/>
    <col min="8702" max="8702" width="7.140625" style="1" customWidth="1"/>
    <col min="8703" max="8703" width="30.28515625" style="1"/>
    <col min="8704" max="8707" width="25.7109375" style="1" customWidth="1"/>
    <col min="8708" max="8708" width="29.85546875" style="1" customWidth="1"/>
    <col min="8709" max="8957" width="30.28515625" style="1"/>
    <col min="8958" max="8958" width="7.140625" style="1" customWidth="1"/>
    <col min="8959" max="8959" width="30.28515625" style="1"/>
    <col min="8960" max="8963" width="25.7109375" style="1" customWidth="1"/>
    <col min="8964" max="8964" width="29.85546875" style="1" customWidth="1"/>
    <col min="8965" max="9213" width="30.28515625" style="1"/>
    <col min="9214" max="9214" width="7.140625" style="1" customWidth="1"/>
    <col min="9215" max="9215" width="30.28515625" style="1"/>
    <col min="9216" max="9219" width="25.7109375" style="1" customWidth="1"/>
    <col min="9220" max="9220" width="29.85546875" style="1" customWidth="1"/>
    <col min="9221" max="9469" width="30.28515625" style="1"/>
    <col min="9470" max="9470" width="7.140625" style="1" customWidth="1"/>
    <col min="9471" max="9471" width="30.28515625" style="1"/>
    <col min="9472" max="9475" width="25.7109375" style="1" customWidth="1"/>
    <col min="9476" max="9476" width="29.85546875" style="1" customWidth="1"/>
    <col min="9477" max="9725" width="30.28515625" style="1"/>
    <col min="9726" max="9726" width="7.140625" style="1" customWidth="1"/>
    <col min="9727" max="9727" width="30.28515625" style="1"/>
    <col min="9728" max="9731" width="25.7109375" style="1" customWidth="1"/>
    <col min="9732" max="9732" width="29.85546875" style="1" customWidth="1"/>
    <col min="9733" max="9981" width="30.28515625" style="1"/>
    <col min="9982" max="9982" width="7.140625" style="1" customWidth="1"/>
    <col min="9983" max="9983" width="30.28515625" style="1"/>
    <col min="9984" max="9987" width="25.7109375" style="1" customWidth="1"/>
    <col min="9988" max="9988" width="29.85546875" style="1" customWidth="1"/>
    <col min="9989" max="10237" width="30.28515625" style="1"/>
    <col min="10238" max="10238" width="7.140625" style="1" customWidth="1"/>
    <col min="10239" max="10239" width="30.28515625" style="1"/>
    <col min="10240" max="10243" width="25.7109375" style="1" customWidth="1"/>
    <col min="10244" max="10244" width="29.85546875" style="1" customWidth="1"/>
    <col min="10245" max="10493" width="30.28515625" style="1"/>
    <col min="10494" max="10494" width="7.140625" style="1" customWidth="1"/>
    <col min="10495" max="10495" width="30.28515625" style="1"/>
    <col min="10496" max="10499" width="25.7109375" style="1" customWidth="1"/>
    <col min="10500" max="10500" width="29.85546875" style="1" customWidth="1"/>
    <col min="10501" max="10749" width="30.28515625" style="1"/>
    <col min="10750" max="10750" width="7.140625" style="1" customWidth="1"/>
    <col min="10751" max="10751" width="30.28515625" style="1"/>
    <col min="10752" max="10755" width="25.7109375" style="1" customWidth="1"/>
    <col min="10756" max="10756" width="29.85546875" style="1" customWidth="1"/>
    <col min="10757" max="11005" width="30.28515625" style="1"/>
    <col min="11006" max="11006" width="7.140625" style="1" customWidth="1"/>
    <col min="11007" max="11007" width="30.28515625" style="1"/>
    <col min="11008" max="11011" width="25.7109375" style="1" customWidth="1"/>
    <col min="11012" max="11012" width="29.85546875" style="1" customWidth="1"/>
    <col min="11013" max="11261" width="30.28515625" style="1"/>
    <col min="11262" max="11262" width="7.140625" style="1" customWidth="1"/>
    <col min="11263" max="11263" width="30.28515625" style="1"/>
    <col min="11264" max="11267" width="25.7109375" style="1" customWidth="1"/>
    <col min="11268" max="11268" width="29.85546875" style="1" customWidth="1"/>
    <col min="11269" max="11517" width="30.28515625" style="1"/>
    <col min="11518" max="11518" width="7.140625" style="1" customWidth="1"/>
    <col min="11519" max="11519" width="30.28515625" style="1"/>
    <col min="11520" max="11523" width="25.7109375" style="1" customWidth="1"/>
    <col min="11524" max="11524" width="29.85546875" style="1" customWidth="1"/>
    <col min="11525" max="11773" width="30.28515625" style="1"/>
    <col min="11774" max="11774" width="7.140625" style="1" customWidth="1"/>
    <col min="11775" max="11775" width="30.28515625" style="1"/>
    <col min="11776" max="11779" width="25.7109375" style="1" customWidth="1"/>
    <col min="11780" max="11780" width="29.85546875" style="1" customWidth="1"/>
    <col min="11781" max="12029" width="30.28515625" style="1"/>
    <col min="12030" max="12030" width="7.140625" style="1" customWidth="1"/>
    <col min="12031" max="12031" width="30.28515625" style="1"/>
    <col min="12032" max="12035" width="25.7109375" style="1" customWidth="1"/>
    <col min="12036" max="12036" width="29.85546875" style="1" customWidth="1"/>
    <col min="12037" max="12285" width="30.28515625" style="1"/>
    <col min="12286" max="12286" width="7.140625" style="1" customWidth="1"/>
    <col min="12287" max="12287" width="30.28515625" style="1"/>
    <col min="12288" max="12291" width="25.7109375" style="1" customWidth="1"/>
    <col min="12292" max="12292" width="29.85546875" style="1" customWidth="1"/>
    <col min="12293" max="12541" width="30.28515625" style="1"/>
    <col min="12542" max="12542" width="7.140625" style="1" customWidth="1"/>
    <col min="12543" max="12543" width="30.28515625" style="1"/>
    <col min="12544" max="12547" width="25.7109375" style="1" customWidth="1"/>
    <col min="12548" max="12548" width="29.85546875" style="1" customWidth="1"/>
    <col min="12549" max="12797" width="30.28515625" style="1"/>
    <col min="12798" max="12798" width="7.140625" style="1" customWidth="1"/>
    <col min="12799" max="12799" width="30.28515625" style="1"/>
    <col min="12800" max="12803" width="25.7109375" style="1" customWidth="1"/>
    <col min="12804" max="12804" width="29.85546875" style="1" customWidth="1"/>
    <col min="12805" max="13053" width="30.28515625" style="1"/>
    <col min="13054" max="13054" width="7.140625" style="1" customWidth="1"/>
    <col min="13055" max="13055" width="30.28515625" style="1"/>
    <col min="13056" max="13059" width="25.7109375" style="1" customWidth="1"/>
    <col min="13060" max="13060" width="29.85546875" style="1" customWidth="1"/>
    <col min="13061" max="13309" width="30.28515625" style="1"/>
    <col min="13310" max="13310" width="7.140625" style="1" customWidth="1"/>
    <col min="13311" max="13311" width="30.28515625" style="1"/>
    <col min="13312" max="13315" width="25.7109375" style="1" customWidth="1"/>
    <col min="13316" max="13316" width="29.85546875" style="1" customWidth="1"/>
    <col min="13317" max="13565" width="30.28515625" style="1"/>
    <col min="13566" max="13566" width="7.140625" style="1" customWidth="1"/>
    <col min="13567" max="13567" width="30.28515625" style="1"/>
    <col min="13568" max="13571" width="25.7109375" style="1" customWidth="1"/>
    <col min="13572" max="13572" width="29.85546875" style="1" customWidth="1"/>
    <col min="13573" max="13821" width="30.28515625" style="1"/>
    <col min="13822" max="13822" width="7.140625" style="1" customWidth="1"/>
    <col min="13823" max="13823" width="30.28515625" style="1"/>
    <col min="13824" max="13827" width="25.7109375" style="1" customWidth="1"/>
    <col min="13828" max="13828" width="29.85546875" style="1" customWidth="1"/>
    <col min="13829" max="14077" width="30.28515625" style="1"/>
    <col min="14078" max="14078" width="7.140625" style="1" customWidth="1"/>
    <col min="14079" max="14079" width="30.28515625" style="1"/>
    <col min="14080" max="14083" width="25.7109375" style="1" customWidth="1"/>
    <col min="14084" max="14084" width="29.85546875" style="1" customWidth="1"/>
    <col min="14085" max="14333" width="30.28515625" style="1"/>
    <col min="14334" max="14334" width="7.140625" style="1" customWidth="1"/>
    <col min="14335" max="14335" width="30.28515625" style="1"/>
    <col min="14336" max="14339" width="25.7109375" style="1" customWidth="1"/>
    <col min="14340" max="14340" width="29.85546875" style="1" customWidth="1"/>
    <col min="14341" max="14589" width="30.28515625" style="1"/>
    <col min="14590" max="14590" width="7.140625" style="1" customWidth="1"/>
    <col min="14591" max="14591" width="30.28515625" style="1"/>
    <col min="14592" max="14595" width="25.7109375" style="1" customWidth="1"/>
    <col min="14596" max="14596" width="29.85546875" style="1" customWidth="1"/>
    <col min="14597" max="14845" width="30.28515625" style="1"/>
    <col min="14846" max="14846" width="7.140625" style="1" customWidth="1"/>
    <col min="14847" max="14847" width="30.28515625" style="1"/>
    <col min="14848" max="14851" width="25.7109375" style="1" customWidth="1"/>
    <col min="14852" max="14852" width="29.85546875" style="1" customWidth="1"/>
    <col min="14853" max="15101" width="30.28515625" style="1"/>
    <col min="15102" max="15102" width="7.140625" style="1" customWidth="1"/>
    <col min="15103" max="15103" width="30.28515625" style="1"/>
    <col min="15104" max="15107" width="25.7109375" style="1" customWidth="1"/>
    <col min="15108" max="15108" width="29.85546875" style="1" customWidth="1"/>
    <col min="15109" max="15357" width="30.28515625" style="1"/>
    <col min="15358" max="15358" width="7.140625" style="1" customWidth="1"/>
    <col min="15359" max="15359" width="30.28515625" style="1"/>
    <col min="15360" max="15363" width="25.7109375" style="1" customWidth="1"/>
    <col min="15364" max="15364" width="29.85546875" style="1" customWidth="1"/>
    <col min="15365" max="15613" width="30.28515625" style="1"/>
    <col min="15614" max="15614" width="7.140625" style="1" customWidth="1"/>
    <col min="15615" max="15615" width="30.28515625" style="1"/>
    <col min="15616" max="15619" width="25.7109375" style="1" customWidth="1"/>
    <col min="15620" max="15620" width="29.85546875" style="1" customWidth="1"/>
    <col min="15621" max="15869" width="30.28515625" style="1"/>
    <col min="15870" max="15870" width="7.140625" style="1" customWidth="1"/>
    <col min="15871" max="15871" width="30.28515625" style="1"/>
    <col min="15872" max="15875" width="25.7109375" style="1" customWidth="1"/>
    <col min="15876" max="15876" width="29.85546875" style="1" customWidth="1"/>
    <col min="15877" max="16125" width="30.28515625" style="1"/>
    <col min="16126" max="16126" width="7.140625" style="1" customWidth="1"/>
    <col min="16127" max="16127" width="30.28515625" style="1"/>
    <col min="16128" max="16131" width="25.7109375" style="1" customWidth="1"/>
    <col min="16132" max="16132" width="29.85546875" style="1" customWidth="1"/>
    <col min="16133" max="16384" width="30.28515625" style="1"/>
  </cols>
  <sheetData>
    <row r="1" spans="1:14" ht="28.5" customHeight="1" x14ac:dyDescent="0.4">
      <c r="A1" s="39" t="s">
        <v>27</v>
      </c>
      <c r="B1" s="39"/>
      <c r="C1" s="39"/>
      <c r="D1" s="39"/>
      <c r="E1" s="39"/>
      <c r="F1" s="39"/>
      <c r="G1" s="39"/>
      <c r="H1" s="39"/>
      <c r="I1" s="39"/>
    </row>
    <row r="2" spans="1:14" ht="12.75" customHeight="1" x14ac:dyDescent="0.5"/>
    <row r="3" spans="1:14" ht="46.5" x14ac:dyDescent="0.4">
      <c r="A3" s="2" t="s">
        <v>20</v>
      </c>
      <c r="B3" s="2" t="s">
        <v>31</v>
      </c>
      <c r="C3" s="2" t="s">
        <v>54</v>
      </c>
      <c r="D3" s="2" t="s">
        <v>21</v>
      </c>
      <c r="E3" s="2" t="s">
        <v>22</v>
      </c>
      <c r="F3" s="2" t="s">
        <v>19</v>
      </c>
      <c r="G3" s="2" t="s">
        <v>24</v>
      </c>
      <c r="H3" s="2" t="s">
        <v>23</v>
      </c>
      <c r="I3" s="2" t="s">
        <v>25</v>
      </c>
    </row>
    <row r="4" spans="1:14" ht="26.25" x14ac:dyDescent="0.4">
      <c r="A4" s="8">
        <v>1</v>
      </c>
      <c r="B4" s="19">
        <v>45300</v>
      </c>
      <c r="C4" s="8" t="s">
        <v>39</v>
      </c>
      <c r="D4" s="8" t="s">
        <v>26</v>
      </c>
      <c r="E4" s="8">
        <v>14000</v>
      </c>
      <c r="F4" s="8">
        <f>'Extra info'!$B$3</f>
        <v>2000</v>
      </c>
      <c r="G4" s="8"/>
      <c r="H4" s="8"/>
      <c r="I4" s="8"/>
      <c r="K4" s="18" t="s">
        <v>24</v>
      </c>
      <c r="L4" s="3"/>
    </row>
    <row r="5" spans="1:14" ht="26.25" x14ac:dyDescent="0.4">
      <c r="A5" s="8">
        <v>2</v>
      </c>
      <c r="B5" s="19">
        <v>45301</v>
      </c>
      <c r="C5" s="8" t="s">
        <v>53</v>
      </c>
      <c r="D5" s="8" t="s">
        <v>35</v>
      </c>
      <c r="E5" s="8">
        <v>7500</v>
      </c>
      <c r="F5" s="8">
        <f>'Extra info'!$B$3</f>
        <v>2000</v>
      </c>
      <c r="G5" s="8"/>
      <c r="H5" s="8"/>
      <c r="I5" s="8"/>
      <c r="K5" s="18" t="s">
        <v>1</v>
      </c>
      <c r="L5" s="3"/>
      <c r="N5" s="20"/>
    </row>
    <row r="6" spans="1:14" ht="26.25" x14ac:dyDescent="0.4">
      <c r="A6" s="8">
        <v>3</v>
      </c>
      <c r="B6" s="19">
        <v>45304</v>
      </c>
      <c r="C6" s="8" t="s">
        <v>40</v>
      </c>
      <c r="D6" s="8" t="s">
        <v>36</v>
      </c>
      <c r="E6" s="8">
        <v>15000</v>
      </c>
      <c r="F6" s="8">
        <f>'Extra info'!$B$3</f>
        <v>2000</v>
      </c>
      <c r="G6" s="8"/>
      <c r="H6" s="8"/>
      <c r="I6" s="8"/>
      <c r="K6" s="18" t="s">
        <v>0</v>
      </c>
      <c r="L6" s="3"/>
      <c r="N6" s="20"/>
    </row>
    <row r="7" spans="1:14" ht="26.25" x14ac:dyDescent="0.4">
      <c r="A7" s="8">
        <v>4</v>
      </c>
      <c r="B7" s="19">
        <v>45305</v>
      </c>
      <c r="C7" s="8" t="s">
        <v>41</v>
      </c>
      <c r="D7" s="8" t="s">
        <v>37</v>
      </c>
      <c r="E7" s="8">
        <v>10600</v>
      </c>
      <c r="F7" s="8">
        <f>'Extra info'!$B$3</f>
        <v>2000</v>
      </c>
      <c r="G7" s="8"/>
      <c r="H7" s="8"/>
      <c r="I7" s="8"/>
      <c r="K7" s="18" t="s">
        <v>12</v>
      </c>
      <c r="L7" s="3"/>
      <c r="N7" s="20"/>
    </row>
    <row r="8" spans="1:14" ht="28.5" customHeight="1" x14ac:dyDescent="0.4">
      <c r="A8" s="8">
        <v>5</v>
      </c>
      <c r="B8" s="19">
        <v>45306</v>
      </c>
      <c r="C8" s="8" t="s">
        <v>42</v>
      </c>
      <c r="D8" s="8" t="s">
        <v>38</v>
      </c>
      <c r="E8" s="8">
        <v>12300</v>
      </c>
      <c r="F8" s="8">
        <f>'Extra info'!$B$3</f>
        <v>2000</v>
      </c>
      <c r="G8" s="8"/>
      <c r="H8" s="8"/>
      <c r="I8" s="8"/>
      <c r="K8" s="18" t="s">
        <v>29</v>
      </c>
      <c r="L8" s="3"/>
      <c r="M8" s="4"/>
      <c r="N8" s="20"/>
    </row>
    <row r="9" spans="1:14" ht="26.25" x14ac:dyDescent="0.4">
      <c r="A9" s="8">
        <v>6</v>
      </c>
      <c r="B9" s="19">
        <v>45307</v>
      </c>
      <c r="C9" s="8" t="s">
        <v>43</v>
      </c>
      <c r="D9" s="8" t="s">
        <v>26</v>
      </c>
      <c r="E9" s="8">
        <v>9160</v>
      </c>
      <c r="F9" s="8">
        <f>'Extra info'!$B$3</f>
        <v>2000</v>
      </c>
      <c r="G9" s="8"/>
      <c r="H9" s="8"/>
      <c r="I9" s="8"/>
      <c r="K9" s="18" t="s">
        <v>32</v>
      </c>
      <c r="L9" s="3"/>
      <c r="M9" s="4"/>
      <c r="N9" s="20"/>
    </row>
    <row r="10" spans="1:14" ht="46.5" x14ac:dyDescent="0.4">
      <c r="A10" s="8">
        <v>7</v>
      </c>
      <c r="B10" s="19">
        <v>45308</v>
      </c>
      <c r="C10" s="8" t="s">
        <v>44</v>
      </c>
      <c r="D10" s="8" t="s">
        <v>35</v>
      </c>
      <c r="E10" s="8">
        <v>14460</v>
      </c>
      <c r="F10" s="8">
        <f>'Extra info'!$B$3</f>
        <v>2000</v>
      </c>
      <c r="G10" s="8"/>
      <c r="H10" s="8"/>
      <c r="I10" s="8"/>
      <c r="K10" s="18" t="s">
        <v>30</v>
      </c>
      <c r="L10" s="3"/>
      <c r="M10" s="4"/>
      <c r="N10" s="20"/>
    </row>
    <row r="11" spans="1:14" ht="26.25" x14ac:dyDescent="0.4">
      <c r="A11" s="8">
        <v>8</v>
      </c>
      <c r="B11" s="19">
        <v>45310</v>
      </c>
      <c r="C11" s="8" t="s">
        <v>45</v>
      </c>
      <c r="D11" s="8" t="s">
        <v>36</v>
      </c>
      <c r="E11" s="8">
        <v>13300</v>
      </c>
      <c r="F11" s="8">
        <f>'Extra info'!$B$3</f>
        <v>2000</v>
      </c>
      <c r="G11" s="8"/>
      <c r="H11" s="8"/>
      <c r="I11" s="8"/>
      <c r="K11" s="4"/>
      <c r="L11" s="4"/>
      <c r="M11" s="4"/>
      <c r="N11" s="20"/>
    </row>
    <row r="12" spans="1:14" ht="26.25" x14ac:dyDescent="0.4">
      <c r="A12" s="8">
        <v>9</v>
      </c>
      <c r="B12" s="19">
        <v>45311</v>
      </c>
      <c r="C12" s="8" t="s">
        <v>46</v>
      </c>
      <c r="D12" s="8" t="s">
        <v>35</v>
      </c>
      <c r="E12" s="8">
        <v>7020</v>
      </c>
      <c r="F12" s="8">
        <f>'Extra info'!$B$3</f>
        <v>2000</v>
      </c>
      <c r="G12" s="8"/>
      <c r="H12" s="8"/>
      <c r="I12" s="8"/>
      <c r="K12" s="4"/>
      <c r="L12" s="4"/>
      <c r="M12" s="4"/>
      <c r="N12" s="20"/>
    </row>
    <row r="13" spans="1:14" ht="46.5" x14ac:dyDescent="0.4">
      <c r="A13" s="8">
        <v>10</v>
      </c>
      <c r="B13" s="19">
        <v>45312</v>
      </c>
      <c r="C13" s="8" t="s">
        <v>47</v>
      </c>
      <c r="D13" s="8" t="s">
        <v>26</v>
      </c>
      <c r="E13" s="8">
        <v>7400</v>
      </c>
      <c r="F13" s="8">
        <f>'Extra info'!$B$3</f>
        <v>2000</v>
      </c>
      <c r="G13" s="8"/>
      <c r="H13" s="8"/>
      <c r="I13" s="8"/>
      <c r="K13" s="4"/>
      <c r="L13" s="4"/>
      <c r="M13" s="4"/>
      <c r="N13" s="20"/>
    </row>
    <row r="14" spans="1:14" ht="26.25" x14ac:dyDescent="0.4">
      <c r="A14" s="8">
        <v>11</v>
      </c>
      <c r="B14" s="19">
        <v>45327</v>
      </c>
      <c r="C14" s="8" t="s">
        <v>48</v>
      </c>
      <c r="D14" s="8" t="s">
        <v>35</v>
      </c>
      <c r="E14" s="8">
        <v>5214</v>
      </c>
      <c r="F14" s="8">
        <f>'Extra info'!$B$3</f>
        <v>2000</v>
      </c>
      <c r="G14" s="8"/>
      <c r="H14" s="8"/>
      <c r="I14" s="8"/>
      <c r="K14" s="4"/>
      <c r="L14" s="4"/>
      <c r="M14" s="4"/>
      <c r="N14" s="20"/>
    </row>
    <row r="15" spans="1:14" ht="26.25" x14ac:dyDescent="0.4">
      <c r="A15" s="8">
        <v>12</v>
      </c>
      <c r="B15" s="19">
        <v>45328</v>
      </c>
      <c r="C15" s="8" t="s">
        <v>49</v>
      </c>
      <c r="D15" s="8" t="s">
        <v>35</v>
      </c>
      <c r="E15" s="8">
        <v>2820</v>
      </c>
      <c r="F15" s="8">
        <f>'Extra info'!$B$3</f>
        <v>2000</v>
      </c>
      <c r="G15" s="8"/>
      <c r="H15" s="8"/>
      <c r="I15" s="8"/>
      <c r="K15" s="4"/>
      <c r="L15" s="4"/>
      <c r="M15" s="4"/>
      <c r="N15" s="20"/>
    </row>
    <row r="16" spans="1:14" ht="26.25" x14ac:dyDescent="0.4">
      <c r="A16" s="8">
        <v>13</v>
      </c>
      <c r="B16" s="19">
        <v>45329</v>
      </c>
      <c r="C16" s="8" t="s">
        <v>50</v>
      </c>
      <c r="D16" s="8" t="s">
        <v>26</v>
      </c>
      <c r="E16" s="8">
        <v>9457</v>
      </c>
      <c r="F16" s="8">
        <f>'Extra info'!$B$3</f>
        <v>2000</v>
      </c>
      <c r="G16" s="8"/>
      <c r="H16" s="8"/>
      <c r="I16" s="8"/>
      <c r="K16" s="9"/>
      <c r="L16" s="9"/>
      <c r="M16" s="9"/>
      <c r="N16" s="20"/>
    </row>
    <row r="17" spans="1:9" ht="26.25" x14ac:dyDescent="0.4">
      <c r="A17" s="8">
        <v>14</v>
      </c>
      <c r="B17" s="19">
        <v>45330</v>
      </c>
      <c r="C17" s="8" t="s">
        <v>51</v>
      </c>
      <c r="D17" s="8" t="s">
        <v>36</v>
      </c>
      <c r="E17" s="8">
        <v>5800</v>
      </c>
      <c r="F17" s="8">
        <f>'Extra info'!$B$3</f>
        <v>2000</v>
      </c>
      <c r="G17" s="8"/>
      <c r="H17" s="8"/>
      <c r="I17" s="8"/>
    </row>
    <row r="18" spans="1:9" ht="26.25" x14ac:dyDescent="0.4">
      <c r="A18" s="8">
        <v>15</v>
      </c>
      <c r="B18" s="19">
        <v>45331</v>
      </c>
      <c r="C18" s="8" t="s">
        <v>52</v>
      </c>
      <c r="D18" s="8" t="s">
        <v>26</v>
      </c>
      <c r="E18" s="8">
        <v>6600</v>
      </c>
      <c r="F18" s="8">
        <f>'Extra info'!$B$3</f>
        <v>2000</v>
      </c>
      <c r="G18" s="8"/>
      <c r="H18" s="8"/>
      <c r="I18" s="8"/>
    </row>
  </sheetData>
  <mergeCells count="1">
    <mergeCell ref="A1:I1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9C53-C5EE-4F83-9F1B-141DEF874DCB}">
  <sheetPr>
    <tabColor theme="3" tint="0.39997558519241921"/>
  </sheetPr>
  <dimension ref="A1:B3"/>
  <sheetViews>
    <sheetView workbookViewId="0">
      <selection activeCell="E13" sqref="E13"/>
    </sheetView>
  </sheetViews>
  <sheetFormatPr defaultRowHeight="15" x14ac:dyDescent="0.25"/>
  <cols>
    <col min="1" max="1" width="20.85546875" customWidth="1"/>
    <col min="2" max="2" width="22" customWidth="1"/>
  </cols>
  <sheetData>
    <row r="1" spans="1:2" ht="35.1" customHeight="1" x14ac:dyDescent="0.25">
      <c r="A1" s="14" t="s">
        <v>17</v>
      </c>
      <c r="B1" s="15">
        <v>1000</v>
      </c>
    </row>
    <row r="2" spans="1:2" ht="35.1" customHeight="1" x14ac:dyDescent="0.25">
      <c r="A2" s="14" t="s">
        <v>18</v>
      </c>
      <c r="B2" s="16">
        <v>0.14000000000000001</v>
      </c>
    </row>
    <row r="3" spans="1:2" ht="35.1" customHeight="1" x14ac:dyDescent="0.25">
      <c r="A3" s="14" t="s">
        <v>19</v>
      </c>
      <c r="B3" s="17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AB37-7650-4D0B-8991-025500F6568A}">
  <sheetPr>
    <tabColor theme="5" tint="-0.499984740745262"/>
  </sheetPr>
  <dimension ref="A1:M28"/>
  <sheetViews>
    <sheetView tabSelected="1" zoomScale="70" zoomScaleNormal="70" workbookViewId="0">
      <selection activeCell="C9" sqref="C9"/>
    </sheetView>
  </sheetViews>
  <sheetFormatPr defaultColWidth="30.28515625" defaultRowHeight="48" customHeight="1" x14ac:dyDescent="0.4"/>
  <cols>
    <col min="1" max="1" width="9.5703125" style="21" customWidth="1"/>
    <col min="2" max="2" width="20.140625" style="21" customWidth="1"/>
    <col min="3" max="3" width="36.7109375" style="21" bestFit="1" customWidth="1"/>
    <col min="4" max="4" width="23.42578125" style="21" customWidth="1"/>
    <col min="5" max="5" width="14.28515625" style="21" bestFit="1" customWidth="1"/>
    <col min="6" max="6" width="23.42578125" style="21" bestFit="1" customWidth="1"/>
    <col min="7" max="7" width="19.85546875" style="21" customWidth="1"/>
    <col min="8" max="8" width="18.85546875" style="21" customWidth="1"/>
    <col min="9" max="9" width="23.28515625" style="21" customWidth="1"/>
    <col min="10" max="10" width="6.85546875" style="21" customWidth="1"/>
    <col min="11" max="11" width="34.140625" style="21" customWidth="1"/>
    <col min="12" max="12" width="26.5703125" style="21" customWidth="1"/>
    <col min="13" max="13" width="43" style="21" customWidth="1"/>
    <col min="14" max="253" width="30.28515625" style="21"/>
    <col min="254" max="254" width="7.140625" style="21" customWidth="1"/>
    <col min="255" max="255" width="30.28515625" style="21"/>
    <col min="256" max="259" width="25.7109375" style="21" customWidth="1"/>
    <col min="260" max="260" width="29.85546875" style="21" customWidth="1"/>
    <col min="261" max="509" width="30.28515625" style="21"/>
    <col min="510" max="510" width="7.140625" style="21" customWidth="1"/>
    <col min="511" max="511" width="30.28515625" style="21"/>
    <col min="512" max="515" width="25.7109375" style="21" customWidth="1"/>
    <col min="516" max="516" width="29.85546875" style="21" customWidth="1"/>
    <col min="517" max="765" width="30.28515625" style="21"/>
    <col min="766" max="766" width="7.140625" style="21" customWidth="1"/>
    <col min="767" max="767" width="30.28515625" style="21"/>
    <col min="768" max="771" width="25.7109375" style="21" customWidth="1"/>
    <col min="772" max="772" width="29.85546875" style="21" customWidth="1"/>
    <col min="773" max="1021" width="30.28515625" style="21"/>
    <col min="1022" max="1022" width="7.140625" style="21" customWidth="1"/>
    <col min="1023" max="1023" width="30.28515625" style="21"/>
    <col min="1024" max="1027" width="25.7109375" style="21" customWidth="1"/>
    <col min="1028" max="1028" width="29.85546875" style="21" customWidth="1"/>
    <col min="1029" max="1277" width="30.28515625" style="21"/>
    <col min="1278" max="1278" width="7.140625" style="21" customWidth="1"/>
    <col min="1279" max="1279" width="30.28515625" style="21"/>
    <col min="1280" max="1283" width="25.7109375" style="21" customWidth="1"/>
    <col min="1284" max="1284" width="29.85546875" style="21" customWidth="1"/>
    <col min="1285" max="1533" width="30.28515625" style="21"/>
    <col min="1534" max="1534" width="7.140625" style="21" customWidth="1"/>
    <col min="1535" max="1535" width="30.28515625" style="21"/>
    <col min="1536" max="1539" width="25.7109375" style="21" customWidth="1"/>
    <col min="1540" max="1540" width="29.85546875" style="21" customWidth="1"/>
    <col min="1541" max="1789" width="30.28515625" style="21"/>
    <col min="1790" max="1790" width="7.140625" style="21" customWidth="1"/>
    <col min="1791" max="1791" width="30.28515625" style="21"/>
    <col min="1792" max="1795" width="25.7109375" style="21" customWidth="1"/>
    <col min="1796" max="1796" width="29.85546875" style="21" customWidth="1"/>
    <col min="1797" max="2045" width="30.28515625" style="21"/>
    <col min="2046" max="2046" width="7.140625" style="21" customWidth="1"/>
    <col min="2047" max="2047" width="30.28515625" style="21"/>
    <col min="2048" max="2051" width="25.7109375" style="21" customWidth="1"/>
    <col min="2052" max="2052" width="29.85546875" style="21" customWidth="1"/>
    <col min="2053" max="2301" width="30.28515625" style="21"/>
    <col min="2302" max="2302" width="7.140625" style="21" customWidth="1"/>
    <col min="2303" max="2303" width="30.28515625" style="21"/>
    <col min="2304" max="2307" width="25.7109375" style="21" customWidth="1"/>
    <col min="2308" max="2308" width="29.85546875" style="21" customWidth="1"/>
    <col min="2309" max="2557" width="30.28515625" style="21"/>
    <col min="2558" max="2558" width="7.140625" style="21" customWidth="1"/>
    <col min="2559" max="2559" width="30.28515625" style="21"/>
    <col min="2560" max="2563" width="25.7109375" style="21" customWidth="1"/>
    <col min="2564" max="2564" width="29.85546875" style="21" customWidth="1"/>
    <col min="2565" max="2813" width="30.28515625" style="21"/>
    <col min="2814" max="2814" width="7.140625" style="21" customWidth="1"/>
    <col min="2815" max="2815" width="30.28515625" style="21"/>
    <col min="2816" max="2819" width="25.7109375" style="21" customWidth="1"/>
    <col min="2820" max="2820" width="29.85546875" style="21" customWidth="1"/>
    <col min="2821" max="3069" width="30.28515625" style="21"/>
    <col min="3070" max="3070" width="7.140625" style="21" customWidth="1"/>
    <col min="3071" max="3071" width="30.28515625" style="21"/>
    <col min="3072" max="3075" width="25.7109375" style="21" customWidth="1"/>
    <col min="3076" max="3076" width="29.85546875" style="21" customWidth="1"/>
    <col min="3077" max="3325" width="30.28515625" style="21"/>
    <col min="3326" max="3326" width="7.140625" style="21" customWidth="1"/>
    <col min="3327" max="3327" width="30.28515625" style="21"/>
    <col min="3328" max="3331" width="25.7109375" style="21" customWidth="1"/>
    <col min="3332" max="3332" width="29.85546875" style="21" customWidth="1"/>
    <col min="3333" max="3581" width="30.28515625" style="21"/>
    <col min="3582" max="3582" width="7.140625" style="21" customWidth="1"/>
    <col min="3583" max="3583" width="30.28515625" style="21"/>
    <col min="3584" max="3587" width="25.7109375" style="21" customWidth="1"/>
    <col min="3588" max="3588" width="29.85546875" style="21" customWidth="1"/>
    <col min="3589" max="3837" width="30.28515625" style="21"/>
    <col min="3838" max="3838" width="7.140625" style="21" customWidth="1"/>
    <col min="3839" max="3839" width="30.28515625" style="21"/>
    <col min="3840" max="3843" width="25.7109375" style="21" customWidth="1"/>
    <col min="3844" max="3844" width="29.85546875" style="21" customWidth="1"/>
    <col min="3845" max="4093" width="30.28515625" style="21"/>
    <col min="4094" max="4094" width="7.140625" style="21" customWidth="1"/>
    <col min="4095" max="4095" width="30.28515625" style="21"/>
    <col min="4096" max="4099" width="25.7109375" style="21" customWidth="1"/>
    <col min="4100" max="4100" width="29.85546875" style="21" customWidth="1"/>
    <col min="4101" max="4349" width="30.28515625" style="21"/>
    <col min="4350" max="4350" width="7.140625" style="21" customWidth="1"/>
    <col min="4351" max="4351" width="30.28515625" style="21"/>
    <col min="4352" max="4355" width="25.7109375" style="21" customWidth="1"/>
    <col min="4356" max="4356" width="29.85546875" style="21" customWidth="1"/>
    <col min="4357" max="4605" width="30.28515625" style="21"/>
    <col min="4606" max="4606" width="7.140625" style="21" customWidth="1"/>
    <col min="4607" max="4607" width="30.28515625" style="21"/>
    <col min="4608" max="4611" width="25.7109375" style="21" customWidth="1"/>
    <col min="4612" max="4612" width="29.85546875" style="21" customWidth="1"/>
    <col min="4613" max="4861" width="30.28515625" style="21"/>
    <col min="4862" max="4862" width="7.140625" style="21" customWidth="1"/>
    <col min="4863" max="4863" width="30.28515625" style="21"/>
    <col min="4864" max="4867" width="25.7109375" style="21" customWidth="1"/>
    <col min="4868" max="4868" width="29.85546875" style="21" customWidth="1"/>
    <col min="4869" max="5117" width="30.28515625" style="21"/>
    <col min="5118" max="5118" width="7.140625" style="21" customWidth="1"/>
    <col min="5119" max="5119" width="30.28515625" style="21"/>
    <col min="5120" max="5123" width="25.7109375" style="21" customWidth="1"/>
    <col min="5124" max="5124" width="29.85546875" style="21" customWidth="1"/>
    <col min="5125" max="5373" width="30.28515625" style="21"/>
    <col min="5374" max="5374" width="7.140625" style="21" customWidth="1"/>
    <col min="5375" max="5375" width="30.28515625" style="21"/>
    <col min="5376" max="5379" width="25.7109375" style="21" customWidth="1"/>
    <col min="5380" max="5380" width="29.85546875" style="21" customWidth="1"/>
    <col min="5381" max="5629" width="30.28515625" style="21"/>
    <col min="5630" max="5630" width="7.140625" style="21" customWidth="1"/>
    <col min="5631" max="5631" width="30.28515625" style="21"/>
    <col min="5632" max="5635" width="25.7109375" style="21" customWidth="1"/>
    <col min="5636" max="5636" width="29.85546875" style="21" customWidth="1"/>
    <col min="5637" max="5885" width="30.28515625" style="21"/>
    <col min="5886" max="5886" width="7.140625" style="21" customWidth="1"/>
    <col min="5887" max="5887" width="30.28515625" style="21"/>
    <col min="5888" max="5891" width="25.7109375" style="21" customWidth="1"/>
    <col min="5892" max="5892" width="29.85546875" style="21" customWidth="1"/>
    <col min="5893" max="6141" width="30.28515625" style="21"/>
    <col min="6142" max="6142" width="7.140625" style="21" customWidth="1"/>
    <col min="6143" max="6143" width="30.28515625" style="21"/>
    <col min="6144" max="6147" width="25.7109375" style="21" customWidth="1"/>
    <col min="6148" max="6148" width="29.85546875" style="21" customWidth="1"/>
    <col min="6149" max="6397" width="30.28515625" style="21"/>
    <col min="6398" max="6398" width="7.140625" style="21" customWidth="1"/>
    <col min="6399" max="6399" width="30.28515625" style="21"/>
    <col min="6400" max="6403" width="25.7109375" style="21" customWidth="1"/>
    <col min="6404" max="6404" width="29.85546875" style="21" customWidth="1"/>
    <col min="6405" max="6653" width="30.28515625" style="21"/>
    <col min="6654" max="6654" width="7.140625" style="21" customWidth="1"/>
    <col min="6655" max="6655" width="30.28515625" style="21"/>
    <col min="6656" max="6659" width="25.7109375" style="21" customWidth="1"/>
    <col min="6660" max="6660" width="29.85546875" style="21" customWidth="1"/>
    <col min="6661" max="6909" width="30.28515625" style="21"/>
    <col min="6910" max="6910" width="7.140625" style="21" customWidth="1"/>
    <col min="6911" max="6911" width="30.28515625" style="21"/>
    <col min="6912" max="6915" width="25.7109375" style="21" customWidth="1"/>
    <col min="6916" max="6916" width="29.85546875" style="21" customWidth="1"/>
    <col min="6917" max="7165" width="30.28515625" style="21"/>
    <col min="7166" max="7166" width="7.140625" style="21" customWidth="1"/>
    <col min="7167" max="7167" width="30.28515625" style="21"/>
    <col min="7168" max="7171" width="25.7109375" style="21" customWidth="1"/>
    <col min="7172" max="7172" width="29.85546875" style="21" customWidth="1"/>
    <col min="7173" max="7421" width="30.28515625" style="21"/>
    <col min="7422" max="7422" width="7.140625" style="21" customWidth="1"/>
    <col min="7423" max="7423" width="30.28515625" style="21"/>
    <col min="7424" max="7427" width="25.7109375" style="21" customWidth="1"/>
    <col min="7428" max="7428" width="29.85546875" style="21" customWidth="1"/>
    <col min="7429" max="7677" width="30.28515625" style="21"/>
    <col min="7678" max="7678" width="7.140625" style="21" customWidth="1"/>
    <col min="7679" max="7679" width="30.28515625" style="21"/>
    <col min="7680" max="7683" width="25.7109375" style="21" customWidth="1"/>
    <col min="7684" max="7684" width="29.85546875" style="21" customWidth="1"/>
    <col min="7685" max="7933" width="30.28515625" style="21"/>
    <col min="7934" max="7934" width="7.140625" style="21" customWidth="1"/>
    <col min="7935" max="7935" width="30.28515625" style="21"/>
    <col min="7936" max="7939" width="25.7109375" style="21" customWidth="1"/>
    <col min="7940" max="7940" width="29.85546875" style="21" customWidth="1"/>
    <col min="7941" max="8189" width="30.28515625" style="21"/>
    <col min="8190" max="8190" width="7.140625" style="21" customWidth="1"/>
    <col min="8191" max="8191" width="30.28515625" style="21"/>
    <col min="8192" max="8195" width="25.7109375" style="21" customWidth="1"/>
    <col min="8196" max="8196" width="29.85546875" style="21" customWidth="1"/>
    <col min="8197" max="8445" width="30.28515625" style="21"/>
    <col min="8446" max="8446" width="7.140625" style="21" customWidth="1"/>
    <col min="8447" max="8447" width="30.28515625" style="21"/>
    <col min="8448" max="8451" width="25.7109375" style="21" customWidth="1"/>
    <col min="8452" max="8452" width="29.85546875" style="21" customWidth="1"/>
    <col min="8453" max="8701" width="30.28515625" style="21"/>
    <col min="8702" max="8702" width="7.140625" style="21" customWidth="1"/>
    <col min="8703" max="8703" width="30.28515625" style="21"/>
    <col min="8704" max="8707" width="25.7109375" style="21" customWidth="1"/>
    <col min="8708" max="8708" width="29.85546875" style="21" customWidth="1"/>
    <col min="8709" max="8957" width="30.28515625" style="21"/>
    <col min="8958" max="8958" width="7.140625" style="21" customWidth="1"/>
    <col min="8959" max="8959" width="30.28515625" style="21"/>
    <col min="8960" max="8963" width="25.7109375" style="21" customWidth="1"/>
    <col min="8964" max="8964" width="29.85546875" style="21" customWidth="1"/>
    <col min="8965" max="9213" width="30.28515625" style="21"/>
    <col min="9214" max="9214" width="7.140625" style="21" customWidth="1"/>
    <col min="9215" max="9215" width="30.28515625" style="21"/>
    <col min="9216" max="9219" width="25.7109375" style="21" customWidth="1"/>
    <col min="9220" max="9220" width="29.85546875" style="21" customWidth="1"/>
    <col min="9221" max="9469" width="30.28515625" style="21"/>
    <col min="9470" max="9470" width="7.140625" style="21" customWidth="1"/>
    <col min="9471" max="9471" width="30.28515625" style="21"/>
    <col min="9472" max="9475" width="25.7109375" style="21" customWidth="1"/>
    <col min="9476" max="9476" width="29.85546875" style="21" customWidth="1"/>
    <col min="9477" max="9725" width="30.28515625" style="21"/>
    <col min="9726" max="9726" width="7.140625" style="21" customWidth="1"/>
    <col min="9727" max="9727" width="30.28515625" style="21"/>
    <col min="9728" max="9731" width="25.7109375" style="21" customWidth="1"/>
    <col min="9732" max="9732" width="29.85546875" style="21" customWidth="1"/>
    <col min="9733" max="9981" width="30.28515625" style="21"/>
    <col min="9982" max="9982" width="7.140625" style="21" customWidth="1"/>
    <col min="9983" max="9983" width="30.28515625" style="21"/>
    <col min="9984" max="9987" width="25.7109375" style="21" customWidth="1"/>
    <col min="9988" max="9988" width="29.85546875" style="21" customWidth="1"/>
    <col min="9989" max="10237" width="30.28515625" style="21"/>
    <col min="10238" max="10238" width="7.140625" style="21" customWidth="1"/>
    <col min="10239" max="10239" width="30.28515625" style="21"/>
    <col min="10240" max="10243" width="25.7109375" style="21" customWidth="1"/>
    <col min="10244" max="10244" width="29.85546875" style="21" customWidth="1"/>
    <col min="10245" max="10493" width="30.28515625" style="21"/>
    <col min="10494" max="10494" width="7.140625" style="21" customWidth="1"/>
    <col min="10495" max="10495" width="30.28515625" style="21"/>
    <col min="10496" max="10499" width="25.7109375" style="21" customWidth="1"/>
    <col min="10500" max="10500" width="29.85546875" style="21" customWidth="1"/>
    <col min="10501" max="10749" width="30.28515625" style="21"/>
    <col min="10750" max="10750" width="7.140625" style="21" customWidth="1"/>
    <col min="10751" max="10751" width="30.28515625" style="21"/>
    <col min="10752" max="10755" width="25.7109375" style="21" customWidth="1"/>
    <col min="10756" max="10756" width="29.85546875" style="21" customWidth="1"/>
    <col min="10757" max="11005" width="30.28515625" style="21"/>
    <col min="11006" max="11006" width="7.140625" style="21" customWidth="1"/>
    <col min="11007" max="11007" width="30.28515625" style="21"/>
    <col min="11008" max="11011" width="25.7109375" style="21" customWidth="1"/>
    <col min="11012" max="11012" width="29.85546875" style="21" customWidth="1"/>
    <col min="11013" max="11261" width="30.28515625" style="21"/>
    <col min="11262" max="11262" width="7.140625" style="21" customWidth="1"/>
    <col min="11263" max="11263" width="30.28515625" style="21"/>
    <col min="11264" max="11267" width="25.7109375" style="21" customWidth="1"/>
    <col min="11268" max="11268" width="29.85546875" style="21" customWidth="1"/>
    <col min="11269" max="11517" width="30.28515625" style="21"/>
    <col min="11518" max="11518" width="7.140625" style="21" customWidth="1"/>
    <col min="11519" max="11519" width="30.28515625" style="21"/>
    <col min="11520" max="11523" width="25.7109375" style="21" customWidth="1"/>
    <col min="11524" max="11524" width="29.85546875" style="21" customWidth="1"/>
    <col min="11525" max="11773" width="30.28515625" style="21"/>
    <col min="11774" max="11774" width="7.140625" style="21" customWidth="1"/>
    <col min="11775" max="11775" width="30.28515625" style="21"/>
    <col min="11776" max="11779" width="25.7109375" style="21" customWidth="1"/>
    <col min="11780" max="11780" width="29.85546875" style="21" customWidth="1"/>
    <col min="11781" max="12029" width="30.28515625" style="21"/>
    <col min="12030" max="12030" width="7.140625" style="21" customWidth="1"/>
    <col min="12031" max="12031" width="30.28515625" style="21"/>
    <col min="12032" max="12035" width="25.7109375" style="21" customWidth="1"/>
    <col min="12036" max="12036" width="29.85546875" style="21" customWidth="1"/>
    <col min="12037" max="12285" width="30.28515625" style="21"/>
    <col min="12286" max="12286" width="7.140625" style="21" customWidth="1"/>
    <col min="12287" max="12287" width="30.28515625" style="21"/>
    <col min="12288" max="12291" width="25.7109375" style="21" customWidth="1"/>
    <col min="12292" max="12292" width="29.85546875" style="21" customWidth="1"/>
    <col min="12293" max="12541" width="30.28515625" style="21"/>
    <col min="12542" max="12542" width="7.140625" style="21" customWidth="1"/>
    <col min="12543" max="12543" width="30.28515625" style="21"/>
    <col min="12544" max="12547" width="25.7109375" style="21" customWidth="1"/>
    <col min="12548" max="12548" width="29.85546875" style="21" customWidth="1"/>
    <col min="12549" max="12797" width="30.28515625" style="21"/>
    <col min="12798" max="12798" width="7.140625" style="21" customWidth="1"/>
    <col min="12799" max="12799" width="30.28515625" style="21"/>
    <col min="12800" max="12803" width="25.7109375" style="21" customWidth="1"/>
    <col min="12804" max="12804" width="29.85546875" style="21" customWidth="1"/>
    <col min="12805" max="13053" width="30.28515625" style="21"/>
    <col min="13054" max="13054" width="7.140625" style="21" customWidth="1"/>
    <col min="13055" max="13055" width="30.28515625" style="21"/>
    <col min="13056" max="13059" width="25.7109375" style="21" customWidth="1"/>
    <col min="13060" max="13060" width="29.85546875" style="21" customWidth="1"/>
    <col min="13061" max="13309" width="30.28515625" style="21"/>
    <col min="13310" max="13310" width="7.140625" style="21" customWidth="1"/>
    <col min="13311" max="13311" width="30.28515625" style="21"/>
    <col min="13312" max="13315" width="25.7109375" style="21" customWidth="1"/>
    <col min="13316" max="13316" width="29.85546875" style="21" customWidth="1"/>
    <col min="13317" max="13565" width="30.28515625" style="21"/>
    <col min="13566" max="13566" width="7.140625" style="21" customWidth="1"/>
    <col min="13567" max="13567" width="30.28515625" style="21"/>
    <col min="13568" max="13571" width="25.7109375" style="21" customWidth="1"/>
    <col min="13572" max="13572" width="29.85546875" style="21" customWidth="1"/>
    <col min="13573" max="13821" width="30.28515625" style="21"/>
    <col min="13822" max="13822" width="7.140625" style="21" customWidth="1"/>
    <col min="13823" max="13823" width="30.28515625" style="21"/>
    <col min="13824" max="13827" width="25.7109375" style="21" customWidth="1"/>
    <col min="13828" max="13828" width="29.85546875" style="21" customWidth="1"/>
    <col min="13829" max="14077" width="30.28515625" style="21"/>
    <col min="14078" max="14078" width="7.140625" style="21" customWidth="1"/>
    <col min="14079" max="14079" width="30.28515625" style="21"/>
    <col min="14080" max="14083" width="25.7109375" style="21" customWidth="1"/>
    <col min="14084" max="14084" width="29.85546875" style="21" customWidth="1"/>
    <col min="14085" max="14333" width="30.28515625" style="21"/>
    <col min="14334" max="14334" width="7.140625" style="21" customWidth="1"/>
    <col min="14335" max="14335" width="30.28515625" style="21"/>
    <col min="14336" max="14339" width="25.7109375" style="21" customWidth="1"/>
    <col min="14340" max="14340" width="29.85546875" style="21" customWidth="1"/>
    <col min="14341" max="14589" width="30.28515625" style="21"/>
    <col min="14590" max="14590" width="7.140625" style="21" customWidth="1"/>
    <col min="14591" max="14591" width="30.28515625" style="21"/>
    <col min="14592" max="14595" width="25.7109375" style="21" customWidth="1"/>
    <col min="14596" max="14596" width="29.85546875" style="21" customWidth="1"/>
    <col min="14597" max="14845" width="30.28515625" style="21"/>
    <col min="14846" max="14846" width="7.140625" style="21" customWidth="1"/>
    <col min="14847" max="14847" width="30.28515625" style="21"/>
    <col min="14848" max="14851" width="25.7109375" style="21" customWidth="1"/>
    <col min="14852" max="14852" width="29.85546875" style="21" customWidth="1"/>
    <col min="14853" max="15101" width="30.28515625" style="21"/>
    <col min="15102" max="15102" width="7.140625" style="21" customWidth="1"/>
    <col min="15103" max="15103" width="30.28515625" style="21"/>
    <col min="15104" max="15107" width="25.7109375" style="21" customWidth="1"/>
    <col min="15108" max="15108" width="29.85546875" style="21" customWidth="1"/>
    <col min="15109" max="15357" width="30.28515625" style="21"/>
    <col min="15358" max="15358" width="7.140625" style="21" customWidth="1"/>
    <col min="15359" max="15359" width="30.28515625" style="21"/>
    <col min="15360" max="15363" width="25.7109375" style="21" customWidth="1"/>
    <col min="15364" max="15364" width="29.85546875" style="21" customWidth="1"/>
    <col min="15365" max="15613" width="30.28515625" style="21"/>
    <col min="15614" max="15614" width="7.140625" style="21" customWidth="1"/>
    <col min="15615" max="15615" width="30.28515625" style="21"/>
    <col min="15616" max="15619" width="25.7109375" style="21" customWidth="1"/>
    <col min="15620" max="15620" width="29.85546875" style="21" customWidth="1"/>
    <col min="15621" max="15869" width="30.28515625" style="21"/>
    <col min="15870" max="15870" width="7.140625" style="21" customWidth="1"/>
    <col min="15871" max="15871" width="30.28515625" style="21"/>
    <col min="15872" max="15875" width="25.7109375" style="21" customWidth="1"/>
    <col min="15876" max="15876" width="29.85546875" style="21" customWidth="1"/>
    <col min="15877" max="16125" width="30.28515625" style="21"/>
    <col min="16126" max="16126" width="7.140625" style="21" customWidth="1"/>
    <col min="16127" max="16127" width="30.28515625" style="21"/>
    <col min="16128" max="16131" width="25.7109375" style="21" customWidth="1"/>
    <col min="16132" max="16132" width="29.85546875" style="21" customWidth="1"/>
    <col min="16133" max="16384" width="30.28515625" style="21"/>
  </cols>
  <sheetData>
    <row r="1" spans="1:13" ht="28.5" customHeight="1" x14ac:dyDescent="0.4">
      <c r="A1" s="39" t="s">
        <v>28</v>
      </c>
      <c r="B1" s="39"/>
      <c r="C1" s="39"/>
      <c r="D1" s="39"/>
      <c r="E1" s="39"/>
      <c r="F1" s="39"/>
      <c r="G1" s="39"/>
      <c r="H1" s="39"/>
      <c r="I1" s="39"/>
    </row>
    <row r="2" spans="1:13" ht="12.75" customHeight="1" x14ac:dyDescent="0.4"/>
    <row r="3" spans="1:13" ht="46.5" x14ac:dyDescent="0.4">
      <c r="A3" s="2" t="s">
        <v>20</v>
      </c>
      <c r="B3" s="2" t="s">
        <v>31</v>
      </c>
      <c r="C3" s="2" t="s">
        <v>54</v>
      </c>
      <c r="D3" s="2" t="s">
        <v>21</v>
      </c>
      <c r="E3" s="2" t="s">
        <v>22</v>
      </c>
      <c r="F3" s="2" t="s">
        <v>19</v>
      </c>
      <c r="G3" s="2" t="s">
        <v>24</v>
      </c>
      <c r="H3" s="2" t="s">
        <v>23</v>
      </c>
      <c r="I3" s="2" t="s">
        <v>25</v>
      </c>
    </row>
    <row r="4" spans="1:13" ht="26.25" x14ac:dyDescent="0.4">
      <c r="A4" s="22">
        <v>1</v>
      </c>
      <c r="B4" s="23">
        <v>45300</v>
      </c>
      <c r="C4" s="22" t="s">
        <v>39</v>
      </c>
      <c r="D4" s="22" t="s">
        <v>26</v>
      </c>
      <c r="E4" s="22">
        <v>14000</v>
      </c>
      <c r="F4" s="22">
        <f>'Extra info'!$B$3</f>
        <v>2000</v>
      </c>
      <c r="G4" s="22">
        <f>SUM(E4:F4,'Extra info'!$B$1)</f>
        <v>17000</v>
      </c>
      <c r="H4" s="22">
        <f>G4*'Extra info'!$B$2</f>
        <v>2380</v>
      </c>
      <c r="I4" s="24">
        <f>SUM(G4:H4)</f>
        <v>19380</v>
      </c>
      <c r="K4" s="18" t="s">
        <v>24</v>
      </c>
      <c r="L4" s="25">
        <f>SUM(I4:I18)</f>
        <v>211619.33999999997</v>
      </c>
    </row>
    <row r="5" spans="1:13" ht="26.25" x14ac:dyDescent="0.4">
      <c r="A5" s="22">
        <v>2</v>
      </c>
      <c r="B5" s="23">
        <v>45301</v>
      </c>
      <c r="C5" s="22" t="s">
        <v>53</v>
      </c>
      <c r="D5" s="22" t="s">
        <v>35</v>
      </c>
      <c r="E5" s="22">
        <v>7500</v>
      </c>
      <c r="F5" s="22">
        <f>'Extra info'!$B$3</f>
        <v>2000</v>
      </c>
      <c r="G5" s="22">
        <f>SUM(E5:F5,'Extra info'!$B$1)</f>
        <v>10500</v>
      </c>
      <c r="H5" s="22">
        <f>G5*'Extra info'!$B$2</f>
        <v>1470.0000000000002</v>
      </c>
      <c r="I5" s="22">
        <f t="shared" ref="I5:I18" si="0">SUM(G5:H5)</f>
        <v>11970</v>
      </c>
      <c r="K5" s="18" t="s">
        <v>1</v>
      </c>
      <c r="L5" s="25">
        <f>MAX(I4:I18)</f>
        <v>20520</v>
      </c>
    </row>
    <row r="6" spans="1:13" ht="26.25" x14ac:dyDescent="0.4">
      <c r="A6" s="22">
        <v>3</v>
      </c>
      <c r="B6" s="23">
        <v>45304</v>
      </c>
      <c r="C6" s="22" t="s">
        <v>40</v>
      </c>
      <c r="D6" s="22" t="s">
        <v>36</v>
      </c>
      <c r="E6" s="22">
        <v>15000</v>
      </c>
      <c r="F6" s="22">
        <f>'Extra info'!$B$3</f>
        <v>2000</v>
      </c>
      <c r="G6" s="22">
        <f>SUM(E6:F6,'Extra info'!$B$1)</f>
        <v>18000</v>
      </c>
      <c r="H6" s="22">
        <f>G6*'Extra info'!$B$2</f>
        <v>2520.0000000000005</v>
      </c>
      <c r="I6" s="22">
        <f t="shared" si="0"/>
        <v>20520</v>
      </c>
      <c r="K6" s="18" t="s">
        <v>0</v>
      </c>
      <c r="L6" s="25">
        <f>MIN(I4:I18)</f>
        <v>6634.8</v>
      </c>
    </row>
    <row r="7" spans="1:13" ht="26.25" x14ac:dyDescent="0.4">
      <c r="A7" s="22">
        <v>4</v>
      </c>
      <c r="B7" s="23">
        <v>45305</v>
      </c>
      <c r="C7" s="22" t="s">
        <v>41</v>
      </c>
      <c r="D7" s="22" t="s">
        <v>37</v>
      </c>
      <c r="E7" s="22">
        <v>10600</v>
      </c>
      <c r="F7" s="22">
        <f>'Extra info'!$B$3</f>
        <v>2000</v>
      </c>
      <c r="G7" s="22">
        <f>SUM(E7:F7,'Extra info'!$B$1)</f>
        <v>13600</v>
      </c>
      <c r="H7" s="22">
        <f>G7*'Extra info'!$B$2</f>
        <v>1904.0000000000002</v>
      </c>
      <c r="I7" s="22">
        <f t="shared" si="0"/>
        <v>15504</v>
      </c>
      <c r="K7" s="18" t="s">
        <v>12</v>
      </c>
      <c r="L7" s="25">
        <f>AVERAGE(I4:I18)</f>
        <v>14107.955999999998</v>
      </c>
    </row>
    <row r="8" spans="1:13" ht="26.25" x14ac:dyDescent="0.4">
      <c r="A8" s="22">
        <v>5</v>
      </c>
      <c r="B8" s="23">
        <v>45306</v>
      </c>
      <c r="C8" s="22" t="s">
        <v>42</v>
      </c>
      <c r="D8" s="22" t="s">
        <v>38</v>
      </c>
      <c r="E8" s="22">
        <v>12300</v>
      </c>
      <c r="F8" s="22">
        <f>'Extra info'!$B$3</f>
        <v>2000</v>
      </c>
      <c r="G8" s="22">
        <f>SUM(E8:F8,'Extra info'!$B$1)</f>
        <v>15300</v>
      </c>
      <c r="H8" s="22">
        <f>G8*'Extra info'!$B$2</f>
        <v>2142</v>
      </c>
      <c r="I8" s="22">
        <f t="shared" si="0"/>
        <v>17442</v>
      </c>
      <c r="K8" s="18" t="s">
        <v>33</v>
      </c>
      <c r="L8" s="26">
        <f>MIN(B4:B18)</f>
        <v>45300</v>
      </c>
      <c r="M8" s="27"/>
    </row>
    <row r="9" spans="1:13" ht="26.25" x14ac:dyDescent="0.4">
      <c r="A9" s="22">
        <v>6</v>
      </c>
      <c r="B9" s="23">
        <v>45307</v>
      </c>
      <c r="C9" s="22" t="s">
        <v>43</v>
      </c>
      <c r="D9" s="22" t="s">
        <v>26</v>
      </c>
      <c r="E9" s="22">
        <v>9160</v>
      </c>
      <c r="F9" s="22">
        <f>'Extra info'!$B$3</f>
        <v>2000</v>
      </c>
      <c r="G9" s="22">
        <f>SUM(E9:F9,'Extra info'!$B$1)</f>
        <v>12160</v>
      </c>
      <c r="H9" s="22">
        <f>G9*'Extra info'!$B$2</f>
        <v>1702.4</v>
      </c>
      <c r="I9" s="22">
        <f t="shared" si="0"/>
        <v>13862.4</v>
      </c>
      <c r="K9" s="18" t="s">
        <v>32</v>
      </c>
      <c r="L9" s="28">
        <f>MAX(H4:H18)</f>
        <v>2520.0000000000005</v>
      </c>
      <c r="M9" s="27"/>
    </row>
    <row r="10" spans="1:13" ht="26.25" x14ac:dyDescent="0.4">
      <c r="A10" s="22">
        <v>7</v>
      </c>
      <c r="B10" s="23">
        <v>45308</v>
      </c>
      <c r="C10" s="22" t="s">
        <v>44</v>
      </c>
      <c r="D10" s="22" t="s">
        <v>35</v>
      </c>
      <c r="E10" s="22">
        <v>14460</v>
      </c>
      <c r="F10" s="22">
        <f>'Extra info'!$B$3</f>
        <v>2000</v>
      </c>
      <c r="G10" s="22">
        <f>SUM(E10:F10,'Extra info'!$B$1)</f>
        <v>17460</v>
      </c>
      <c r="H10" s="22">
        <f>G10*'Extra info'!$B$2</f>
        <v>2444.4</v>
      </c>
      <c r="I10" s="22">
        <f t="shared" si="0"/>
        <v>19904.400000000001</v>
      </c>
      <c r="K10" s="18" t="s">
        <v>34</v>
      </c>
      <c r="L10" s="26">
        <f>MAX(B18)</f>
        <v>45331</v>
      </c>
      <c r="M10" s="27"/>
    </row>
    <row r="11" spans="1:13" ht="26.25" x14ac:dyDescent="0.4">
      <c r="A11" s="22">
        <v>8</v>
      </c>
      <c r="B11" s="23">
        <v>45310</v>
      </c>
      <c r="C11" s="22" t="s">
        <v>45</v>
      </c>
      <c r="D11" s="22" t="s">
        <v>36</v>
      </c>
      <c r="E11" s="22">
        <v>13300</v>
      </c>
      <c r="F11" s="22">
        <f>'Extra info'!$B$3</f>
        <v>2000</v>
      </c>
      <c r="G11" s="22">
        <f>SUM(E11:F11,'Extra info'!$B$1)</f>
        <v>16300</v>
      </c>
      <c r="H11" s="22">
        <f>G11*'Extra info'!$B$2</f>
        <v>2282</v>
      </c>
      <c r="I11" s="22">
        <f t="shared" si="0"/>
        <v>18582</v>
      </c>
      <c r="K11" s="27"/>
      <c r="L11" s="27"/>
      <c r="M11" s="27"/>
    </row>
    <row r="12" spans="1:13" ht="26.25" x14ac:dyDescent="0.4">
      <c r="A12" s="22">
        <v>9</v>
      </c>
      <c r="B12" s="23">
        <v>45311</v>
      </c>
      <c r="C12" s="22" t="s">
        <v>46</v>
      </c>
      <c r="D12" s="22" t="s">
        <v>35</v>
      </c>
      <c r="E12" s="22">
        <v>7020</v>
      </c>
      <c r="F12" s="22">
        <f>'Extra info'!$B$3</f>
        <v>2000</v>
      </c>
      <c r="G12" s="22">
        <f>SUM(E12:F12,'Extra info'!$B$1)</f>
        <v>10020</v>
      </c>
      <c r="H12" s="22">
        <f>G12*'Extra info'!$B$2</f>
        <v>1402.8000000000002</v>
      </c>
      <c r="I12" s="22">
        <f t="shared" si="0"/>
        <v>11422.8</v>
      </c>
      <c r="K12" s="27"/>
      <c r="L12" s="27"/>
      <c r="M12" s="27"/>
    </row>
    <row r="13" spans="1:13" ht="26.25" x14ac:dyDescent="0.4">
      <c r="A13" s="22">
        <v>10</v>
      </c>
      <c r="B13" s="23">
        <v>45312</v>
      </c>
      <c r="C13" s="22" t="s">
        <v>47</v>
      </c>
      <c r="D13" s="22" t="s">
        <v>26</v>
      </c>
      <c r="E13" s="22">
        <v>7400</v>
      </c>
      <c r="F13" s="22">
        <f>'Extra info'!$B$3</f>
        <v>2000</v>
      </c>
      <c r="G13" s="22">
        <f>SUM(E13:F13,'Extra info'!$B$1)</f>
        <v>10400</v>
      </c>
      <c r="H13" s="22">
        <f>G13*'Extra info'!$B$2</f>
        <v>1456.0000000000002</v>
      </c>
      <c r="I13" s="22">
        <f t="shared" si="0"/>
        <v>11856</v>
      </c>
      <c r="K13" s="27"/>
      <c r="L13" s="27"/>
      <c r="M13" s="27"/>
    </row>
    <row r="14" spans="1:13" ht="26.25" x14ac:dyDescent="0.4">
      <c r="A14" s="22">
        <v>11</v>
      </c>
      <c r="B14" s="23">
        <v>45327</v>
      </c>
      <c r="C14" s="22" t="s">
        <v>48</v>
      </c>
      <c r="D14" s="22" t="s">
        <v>35</v>
      </c>
      <c r="E14" s="22">
        <v>5214</v>
      </c>
      <c r="F14" s="22">
        <f>'Extra info'!$B$3</f>
        <v>2000</v>
      </c>
      <c r="G14" s="22">
        <f>SUM(E14:F14,'Extra info'!$B$1)</f>
        <v>8214</v>
      </c>
      <c r="H14" s="22">
        <f>G14*'Extra info'!$B$2</f>
        <v>1149.96</v>
      </c>
      <c r="I14" s="22">
        <f t="shared" si="0"/>
        <v>9363.9599999999991</v>
      </c>
      <c r="K14" s="27"/>
      <c r="L14" s="27"/>
      <c r="M14" s="27"/>
    </row>
    <row r="15" spans="1:13" ht="26.25" x14ac:dyDescent="0.4">
      <c r="A15" s="22">
        <v>12</v>
      </c>
      <c r="B15" s="23">
        <v>45328</v>
      </c>
      <c r="C15" s="22" t="s">
        <v>49</v>
      </c>
      <c r="D15" s="22" t="s">
        <v>35</v>
      </c>
      <c r="E15" s="22">
        <v>2820</v>
      </c>
      <c r="F15" s="22">
        <f>'Extra info'!$B$3</f>
        <v>2000</v>
      </c>
      <c r="G15" s="22">
        <f>SUM(E15:F15,'Extra info'!$B$1)</f>
        <v>5820</v>
      </c>
      <c r="H15" s="22">
        <f>G15*'Extra info'!$B$2</f>
        <v>814.80000000000007</v>
      </c>
      <c r="I15" s="22">
        <f t="shared" si="0"/>
        <v>6634.8</v>
      </c>
      <c r="K15" s="27"/>
      <c r="L15" s="27"/>
      <c r="M15" s="27"/>
    </row>
    <row r="16" spans="1:13" ht="26.25" x14ac:dyDescent="0.4">
      <c r="A16" s="22">
        <v>13</v>
      </c>
      <c r="B16" s="23">
        <v>45329</v>
      </c>
      <c r="C16" s="22" t="s">
        <v>50</v>
      </c>
      <c r="D16" s="22" t="s">
        <v>26</v>
      </c>
      <c r="E16" s="22">
        <v>9457</v>
      </c>
      <c r="F16" s="22">
        <f>'Extra info'!$B$3</f>
        <v>2000</v>
      </c>
      <c r="G16" s="22">
        <f>SUM(E16:F16,'Extra info'!$B$1)</f>
        <v>12457</v>
      </c>
      <c r="H16" s="22">
        <f>G16*'Extra info'!$B$2</f>
        <v>1743.9800000000002</v>
      </c>
      <c r="I16" s="22">
        <f t="shared" si="0"/>
        <v>14200.98</v>
      </c>
      <c r="K16" s="29"/>
      <c r="L16" s="29"/>
      <c r="M16" s="29"/>
    </row>
    <row r="17" spans="1:9" ht="26.25" x14ac:dyDescent="0.4">
      <c r="A17" s="22">
        <v>14</v>
      </c>
      <c r="B17" s="23">
        <v>45330</v>
      </c>
      <c r="C17" s="22" t="s">
        <v>51</v>
      </c>
      <c r="D17" s="22" t="s">
        <v>36</v>
      </c>
      <c r="E17" s="22">
        <v>5800</v>
      </c>
      <c r="F17" s="22">
        <f>'Extra info'!$B$3</f>
        <v>2000</v>
      </c>
      <c r="G17" s="22">
        <f>SUM(E17:F17,'Extra info'!$B$1)</f>
        <v>8800</v>
      </c>
      <c r="H17" s="22">
        <f>G17*'Extra info'!$B$2</f>
        <v>1232.0000000000002</v>
      </c>
      <c r="I17" s="22">
        <f t="shared" si="0"/>
        <v>10032</v>
      </c>
    </row>
    <row r="18" spans="1:9" ht="26.25" x14ac:dyDescent="0.4">
      <c r="A18" s="22">
        <v>15</v>
      </c>
      <c r="B18" s="23">
        <v>45331</v>
      </c>
      <c r="C18" s="22" t="s">
        <v>52</v>
      </c>
      <c r="D18" s="22" t="s">
        <v>26</v>
      </c>
      <c r="E18" s="22">
        <v>6600</v>
      </c>
      <c r="F18" s="22">
        <f>'Extra info'!$B$3</f>
        <v>2000</v>
      </c>
      <c r="G18" s="22">
        <f>SUM(E18:F18,'Extra info'!$B$1)</f>
        <v>9600</v>
      </c>
      <c r="H18" s="22">
        <f>G18*'Extra info'!$B$2</f>
        <v>1344.0000000000002</v>
      </c>
      <c r="I18" s="22">
        <f t="shared" si="0"/>
        <v>10944</v>
      </c>
    </row>
    <row r="19" spans="1:9" ht="30" customHeight="1" x14ac:dyDescent="0.4">
      <c r="A19" s="27"/>
      <c r="B19" s="30"/>
      <c r="C19" s="31"/>
      <c r="D19" s="31"/>
      <c r="E19" s="31"/>
      <c r="F19" s="32"/>
      <c r="I19" s="33"/>
    </row>
    <row r="20" spans="1:9" ht="30" customHeight="1" x14ac:dyDescent="0.4">
      <c r="A20" s="27"/>
      <c r="B20" s="31"/>
      <c r="C20" s="31"/>
      <c r="D20" s="31"/>
      <c r="E20" s="31"/>
      <c r="F20" s="32"/>
    </row>
    <row r="21" spans="1:9" ht="30" customHeight="1" x14ac:dyDescent="0.4">
      <c r="A21" s="27"/>
      <c r="B21" s="31"/>
      <c r="C21" s="31"/>
      <c r="D21" s="31"/>
      <c r="E21" s="31"/>
      <c r="F21" s="31"/>
    </row>
    <row r="22" spans="1:9" ht="30" customHeight="1" x14ac:dyDescent="0.4">
      <c r="A22" s="27"/>
      <c r="B22" s="31"/>
      <c r="C22" s="31"/>
      <c r="D22" s="31"/>
      <c r="E22" s="31"/>
      <c r="F22" s="32"/>
    </row>
    <row r="23" spans="1:9" ht="30" customHeight="1" x14ac:dyDescent="0.4">
      <c r="A23" s="27"/>
      <c r="B23" s="40"/>
      <c r="C23" s="40"/>
      <c r="D23" s="40"/>
      <c r="E23" s="40"/>
      <c r="F23" s="40"/>
    </row>
    <row r="24" spans="1:9" ht="30" customHeight="1" x14ac:dyDescent="0.4">
      <c r="A24" s="34"/>
      <c r="B24" s="35"/>
      <c r="C24" s="32"/>
      <c r="D24" s="32"/>
      <c r="E24" s="32"/>
      <c r="F24" s="32"/>
    </row>
    <row r="25" spans="1:9" ht="30" customHeight="1" x14ac:dyDescent="0.4">
      <c r="A25" s="34"/>
      <c r="B25" s="34"/>
      <c r="C25" s="34"/>
      <c r="D25" s="34"/>
      <c r="E25" s="34"/>
      <c r="F25" s="34"/>
    </row>
    <row r="26" spans="1:9" ht="30" customHeight="1" x14ac:dyDescent="0.4">
      <c r="A26" s="34"/>
      <c r="B26" s="34"/>
      <c r="C26" s="34"/>
      <c r="D26" s="34"/>
      <c r="E26" s="34"/>
      <c r="F26" s="34"/>
    </row>
    <row r="27" spans="1:9" ht="30" customHeight="1" x14ac:dyDescent="0.4">
      <c r="A27" s="34"/>
      <c r="B27" s="34"/>
      <c r="C27" s="34"/>
      <c r="D27" s="34"/>
      <c r="E27" s="34"/>
      <c r="F27" s="34"/>
    </row>
    <row r="28" spans="1:9" ht="30" customHeight="1" x14ac:dyDescent="0.4">
      <c r="A28" s="34"/>
      <c r="B28" s="34"/>
      <c r="C28" s="34"/>
      <c r="D28" s="34"/>
      <c r="E28" s="34"/>
      <c r="F28" s="34"/>
    </row>
  </sheetData>
  <mergeCells count="2">
    <mergeCell ref="B23:F23"/>
    <mergeCell ref="A1:I1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 vs A</vt:lpstr>
      <vt:lpstr>Account Transaction</vt:lpstr>
      <vt:lpstr>Extra info</vt:lpstr>
      <vt:lpstr>Account Transaction - 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Ahmed Ismai</cp:lastModifiedBy>
  <cp:lastPrinted>2024-12-07T10:12:37Z</cp:lastPrinted>
  <dcterms:created xsi:type="dcterms:W3CDTF">2023-08-31T13:41:40Z</dcterms:created>
  <dcterms:modified xsi:type="dcterms:W3CDTF">2025-05-04T19:51:36Z</dcterms:modified>
</cp:coreProperties>
</file>