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Excel\Day1\Day1\"/>
    </mc:Choice>
  </mc:AlternateContent>
  <xr:revisionPtr revIDLastSave="0" documentId="13_ncr:1_{1539E7E3-3013-4558-9B00-28E50AC4F572}" xr6:coauthVersionLast="47" xr6:coauthVersionMax="47" xr10:uidLastSave="{00000000-0000-0000-0000-000000000000}"/>
  <bookViews>
    <workbookView xWindow="-108" yWindow="-108" windowWidth="23256" windowHeight="13176" tabRatio="828" activeTab="2" xr2:uid="{00000000-000D-0000-FFFF-FFFF00000000}"/>
  </bookViews>
  <sheets>
    <sheet name="IF" sheetId="18" r:id="rId1"/>
    <sheet name="IF with AND" sheetId="20" r:id="rId2"/>
    <sheet name="IFS" sheetId="22" r:id="rId3"/>
  </sheets>
  <definedNames>
    <definedName name="Data1">#REF!</definedName>
    <definedName name="Data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2" l="1" a="1"/>
  <c r="C4" i="22" s="1"/>
  <c r="C5" i="22" a="1"/>
  <c r="C5" i="22" s="1"/>
  <c r="C6" i="22" a="1"/>
  <c r="C6" i="22" s="1"/>
  <c r="C7" i="22" a="1"/>
  <c r="C7" i="22" s="1"/>
  <c r="C8" i="22" a="1"/>
  <c r="C8" i="22"/>
  <c r="C9" i="22" a="1"/>
  <c r="C9" i="22" s="1"/>
  <c r="C10" i="22" a="1"/>
  <c r="C10" i="22"/>
  <c r="C11" i="22" a="1"/>
  <c r="C11" i="22"/>
  <c r="C12" i="22" a="1"/>
  <c r="C12" i="22" s="1"/>
  <c r="C13" i="22" a="1"/>
  <c r="C13" i="22" s="1"/>
  <c r="C14" i="22" a="1"/>
  <c r="C14" i="22" s="1"/>
  <c r="C15" i="22" a="1"/>
  <c r="C15" i="22"/>
  <c r="H11" i="20"/>
  <c r="H12" i="20"/>
  <c r="H13" i="20"/>
  <c r="H14" i="20"/>
  <c r="H15" i="20"/>
  <c r="H16" i="20"/>
  <c r="H17" i="20"/>
  <c r="H18" i="20"/>
  <c r="H19" i="20"/>
  <c r="H20" i="20"/>
  <c r="H21" i="20"/>
  <c r="H10" i="20"/>
  <c r="E11" i="20"/>
  <c r="E12" i="20"/>
  <c r="E13" i="20"/>
  <c r="E14" i="20"/>
  <c r="E15" i="20"/>
  <c r="E16" i="20"/>
  <c r="E17" i="20"/>
  <c r="E18" i="20"/>
  <c r="E19" i="20"/>
  <c r="E20" i="20"/>
  <c r="E21" i="20"/>
  <c r="E10" i="20"/>
  <c r="I9" i="18"/>
  <c r="I10" i="18"/>
  <c r="I11" i="18"/>
  <c r="I12" i="18"/>
  <c r="I13" i="18"/>
  <c r="I14" i="18"/>
  <c r="I15" i="18"/>
  <c r="I16" i="18"/>
  <c r="I17" i="18"/>
  <c r="I18" i="18"/>
  <c r="I19" i="18"/>
  <c r="I8" i="18"/>
  <c r="H9" i="18"/>
  <c r="H10" i="18"/>
  <c r="H11" i="18"/>
  <c r="H12" i="18"/>
  <c r="H13" i="18"/>
  <c r="H14" i="18"/>
  <c r="H15" i="18"/>
  <c r="H16" i="18"/>
  <c r="H17" i="18"/>
  <c r="H18" i="18"/>
  <c r="H19" i="18"/>
  <c r="H8" i="18"/>
  <c r="G9" i="18"/>
  <c r="G10" i="18"/>
  <c r="G11" i="18"/>
  <c r="G12" i="18"/>
  <c r="G13" i="18"/>
  <c r="G14" i="18"/>
  <c r="G15" i="18"/>
  <c r="G16" i="18"/>
  <c r="G17" i="18"/>
  <c r="G18" i="18"/>
  <c r="G19" i="18"/>
  <c r="G8" i="18"/>
  <c r="F9" i="18"/>
  <c r="F10" i="18"/>
  <c r="F11" i="18"/>
  <c r="F12" i="18"/>
  <c r="F13" i="18"/>
  <c r="F14" i="18"/>
  <c r="F15" i="18"/>
  <c r="F16" i="18"/>
  <c r="F17" i="18"/>
  <c r="F18" i="18"/>
  <c r="F19" i="18"/>
  <c r="F8" i="18"/>
  <c r="E9" i="18"/>
  <c r="E10" i="18"/>
  <c r="E11" i="18"/>
  <c r="E12" i="18"/>
  <c r="E13" i="18"/>
  <c r="E14" i="18"/>
  <c r="E15" i="18"/>
  <c r="E16" i="18"/>
  <c r="E17" i="18"/>
  <c r="E18" i="18"/>
  <c r="E19" i="18"/>
  <c r="E8" i="18"/>
  <c r="N5" i="20"/>
  <c r="N6" i="20"/>
  <c r="N4" i="20"/>
  <c r="M5" i="20"/>
  <c r="M6" i="20"/>
  <c r="M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7" authorId="0" shapeId="0" xr:uid="{E4980F6C-2942-456B-8A5C-BE105613F9E5}">
      <text>
        <r>
          <rPr>
            <sz val="11"/>
            <color indexed="81"/>
            <rFont val="Tahoma"/>
            <family val="2"/>
          </rPr>
          <t>Display Done if paid amount equal to Due amount ,Otherwise Below</t>
        </r>
      </text>
    </comment>
    <comment ref="F7" authorId="0" shapeId="0" xr:uid="{BE7F4229-1405-49B6-8E09-7C90FCDB5910}">
      <text>
        <r>
          <rPr>
            <sz val="12"/>
            <color indexed="81"/>
            <rFont val="Tahoma"/>
            <family val="2"/>
          </rPr>
          <t>Display Done if paid amount equal to Due amount ,Otherwise Below</t>
        </r>
      </text>
    </comment>
    <comment ref="H7" authorId="0" shapeId="0" xr:uid="{8F0D18F2-E2FE-464F-AF37-9B38ED2987F7}">
      <text>
        <r>
          <rPr>
            <sz val="11"/>
            <color indexed="81"/>
            <rFont val="Tahoma"/>
            <family val="2"/>
          </rPr>
          <t xml:space="preserve"> Due amount-paid amount </t>
        </r>
      </text>
    </comment>
    <comment ref="I7" authorId="0" shapeId="0" xr:uid="{FBFC0BA7-AA22-4668-8FD1-C7BCA18193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Due Amoutn more than 200000 (due * 10%) else (due*5%)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<sst xmlns="http://schemas.openxmlformats.org/spreadsheetml/2006/main" count="109" uniqueCount="68">
  <si>
    <t>√</t>
  </si>
  <si>
    <t>countblank</t>
  </si>
  <si>
    <t>countA</t>
  </si>
  <si>
    <t>count</t>
  </si>
  <si>
    <t>Name</t>
  </si>
  <si>
    <t>Islam Hussien</t>
  </si>
  <si>
    <t>Rania Hassan</t>
  </si>
  <si>
    <t>Moaaz Maher</t>
  </si>
  <si>
    <t>IF function</t>
  </si>
  <si>
    <t>Branch</t>
  </si>
  <si>
    <t>Due Amount</t>
  </si>
  <si>
    <t>Paid Amount</t>
  </si>
  <si>
    <t>Done/Below</t>
  </si>
  <si>
    <t>Amount Diff.</t>
  </si>
  <si>
    <t>Due Amoutn after Discount</t>
  </si>
  <si>
    <t>Cairo</t>
  </si>
  <si>
    <t>Ibrahim Bakr</t>
  </si>
  <si>
    <t>Yousef Amr</t>
  </si>
  <si>
    <t>hamada Sayed</t>
  </si>
  <si>
    <t>Ahmed Raouf</t>
  </si>
  <si>
    <t>Alex</t>
  </si>
  <si>
    <t>Ahmed Alaa</t>
  </si>
  <si>
    <t>Fayoum</t>
  </si>
  <si>
    <t>Ahmed Heikal</t>
  </si>
  <si>
    <t>Mohamed Elsayed</t>
  </si>
  <si>
    <t>Moataz Mohamed</t>
  </si>
  <si>
    <t>Zienab Mohamed</t>
  </si>
  <si>
    <t>And - OR &gt;70</t>
  </si>
  <si>
    <t>Kpi1</t>
  </si>
  <si>
    <t>KPI2</t>
  </si>
  <si>
    <t>and</t>
  </si>
  <si>
    <t>or</t>
  </si>
  <si>
    <t>Ahmed</t>
  </si>
  <si>
    <t>Eyad</t>
  </si>
  <si>
    <t>Hassan</t>
  </si>
  <si>
    <t>x</t>
  </si>
  <si>
    <t xml:space="preserve">Amount Diff= Due amount - paid amount </t>
  </si>
  <si>
    <t>Suymbol</t>
  </si>
  <si>
    <t>Conditions</t>
  </si>
  <si>
    <t>Emp Name</t>
  </si>
  <si>
    <t>Kpi2</t>
  </si>
  <si>
    <t>Kpi3</t>
  </si>
  <si>
    <t>&gt;90</t>
  </si>
  <si>
    <t>&gt;80</t>
  </si>
  <si>
    <t>&gt;70</t>
  </si>
  <si>
    <t>&gt;60</t>
  </si>
  <si>
    <t>Ex</t>
  </si>
  <si>
    <t>VG</t>
  </si>
  <si>
    <t>G</t>
  </si>
  <si>
    <t>P</t>
  </si>
  <si>
    <t>F</t>
  </si>
  <si>
    <t>IFS</t>
  </si>
  <si>
    <t>IF  AND,  IF OR</t>
  </si>
  <si>
    <r>
      <t xml:space="preserve">Display </t>
    </r>
    <r>
      <rPr>
        <sz val="14"/>
        <color rgb="FFFF0000"/>
        <rFont val="Calibri"/>
        <family val="2"/>
        <scheme val="minor"/>
      </rPr>
      <t>Done</t>
    </r>
    <r>
      <rPr>
        <sz val="14"/>
        <color rgb="FF002060"/>
        <rFont val="Calibri"/>
        <family val="2"/>
        <scheme val="minor"/>
      </rPr>
      <t xml:space="preserve"> if paid amount </t>
    </r>
    <r>
      <rPr>
        <b/>
        <sz val="14"/>
        <color rgb="FF002060"/>
        <rFont val="Calibri"/>
        <family val="2"/>
        <scheme val="minor"/>
      </rPr>
      <t>equal to</t>
    </r>
    <r>
      <rPr>
        <sz val="14"/>
        <color rgb="FF002060"/>
        <rFont val="Calibri"/>
        <family val="2"/>
        <scheme val="minor"/>
      </rPr>
      <t xml:space="preserve"> Due amount ,Otherwise </t>
    </r>
    <r>
      <rPr>
        <sz val="14"/>
        <color rgb="FFFF0000"/>
        <rFont val="Calibri"/>
        <family val="2"/>
        <scheme val="minor"/>
      </rPr>
      <t>Below</t>
    </r>
  </si>
  <si>
    <t>Due&gt;200000</t>
  </si>
  <si>
    <r>
      <t xml:space="preserve">Display Suymbol if </t>
    </r>
    <r>
      <rPr>
        <b/>
        <sz val="14"/>
        <color rgb="FFFF0000"/>
        <rFont val="Calibri"/>
        <family val="2"/>
        <scheme val="minor"/>
      </rPr>
      <t>paid amount &gt;= 100000</t>
    </r>
  </si>
  <si>
    <r>
      <t xml:space="preserve">if </t>
    </r>
    <r>
      <rPr>
        <b/>
        <sz val="14"/>
        <color rgb="FF002060"/>
        <rFont val="Calibri"/>
        <family val="2"/>
        <scheme val="minor"/>
      </rPr>
      <t>Due Amount</t>
    </r>
    <r>
      <rPr>
        <sz val="14"/>
        <color rgb="FF002060"/>
        <rFont val="Calibri"/>
        <family val="2"/>
        <scheme val="minor"/>
      </rPr>
      <t xml:space="preserve"> more than 200000</t>
    </r>
    <r>
      <rPr>
        <sz val="14"/>
        <color rgb="FFFF0000"/>
        <rFont val="Calibri"/>
        <family val="2"/>
        <scheme val="minor"/>
      </rPr>
      <t xml:space="preserve"> (due * 10%)</t>
    </r>
    <r>
      <rPr>
        <sz val="14"/>
        <color rgb="FF002060"/>
        <rFont val="Calibri"/>
        <family val="2"/>
        <scheme val="minor"/>
      </rPr>
      <t xml:space="preserve"> else </t>
    </r>
    <r>
      <rPr>
        <sz val="14"/>
        <color rgb="FFFF0000"/>
        <rFont val="Calibri"/>
        <family val="2"/>
        <scheme val="minor"/>
      </rPr>
      <t>(</t>
    </r>
    <r>
      <rPr>
        <u/>
        <sz val="14"/>
        <color rgb="FFFF0000"/>
        <rFont val="Calibri"/>
        <family val="2"/>
        <scheme val="minor"/>
      </rPr>
      <t>due*5%)</t>
    </r>
  </si>
  <si>
    <r>
      <t xml:space="preserve">Display </t>
    </r>
    <r>
      <rPr>
        <sz val="14"/>
        <color rgb="FFFF0000"/>
        <rFont val="Calibri"/>
        <family val="2"/>
        <scheme val="minor"/>
      </rPr>
      <t>YES</t>
    </r>
    <r>
      <rPr>
        <sz val="14"/>
        <color rgb="FF002060"/>
        <rFont val="Calibri"/>
        <family val="2"/>
        <scheme val="minor"/>
      </rPr>
      <t xml:space="preserve"> if Due </t>
    </r>
    <r>
      <rPr>
        <b/>
        <sz val="14"/>
        <color rgb="FF002060"/>
        <rFont val="Calibri"/>
        <family val="2"/>
        <scheme val="minor"/>
      </rPr>
      <t>amount&gt;200000</t>
    </r>
    <r>
      <rPr>
        <sz val="14"/>
        <color rgb="FF002060"/>
        <rFont val="Calibri"/>
        <family val="2"/>
        <scheme val="minor"/>
      </rPr>
      <t xml:space="preserve">,Otherwise </t>
    </r>
    <r>
      <rPr>
        <sz val="14"/>
        <color rgb="FFFF0000"/>
        <rFont val="Calibri"/>
        <family val="2"/>
        <scheme val="minor"/>
      </rPr>
      <t>NO</t>
    </r>
  </si>
  <si>
    <t>&gt;=90</t>
  </si>
  <si>
    <r>
      <rPr>
        <sz val="14"/>
        <color rgb="FFFF0000"/>
        <rFont val="Calibri"/>
        <family val="2"/>
        <scheme val="minor"/>
      </rPr>
      <t>50</t>
    </r>
    <r>
      <rPr>
        <sz val="14"/>
        <color theme="1"/>
        <rFont val="Calibri"/>
        <family val="2"/>
        <scheme val="minor"/>
      </rPr>
      <t>-60</t>
    </r>
  </si>
  <si>
    <r>
      <rPr>
        <sz val="14"/>
        <color rgb="FFFF0000"/>
        <rFont val="Calibri"/>
        <family val="2"/>
        <scheme val="minor"/>
      </rPr>
      <t>60</t>
    </r>
    <r>
      <rPr>
        <sz val="14"/>
        <color theme="1"/>
        <rFont val="Calibri"/>
        <family val="2"/>
        <scheme val="minor"/>
      </rPr>
      <t>-75</t>
    </r>
  </si>
  <si>
    <r>
      <rPr>
        <sz val="14"/>
        <color rgb="FFFF0000"/>
        <rFont val="Calibri"/>
        <family val="2"/>
        <scheme val="minor"/>
      </rPr>
      <t>75</t>
    </r>
    <r>
      <rPr>
        <sz val="14"/>
        <color theme="1"/>
        <rFont val="Calibri"/>
        <family val="2"/>
        <scheme val="minor"/>
      </rPr>
      <t>-90</t>
    </r>
  </si>
  <si>
    <t>Symbol</t>
  </si>
  <si>
    <t>AND &gt;85</t>
  </si>
  <si>
    <t>IF AND&gt;85</t>
  </si>
  <si>
    <t>OR&gt;85</t>
  </si>
  <si>
    <t>IF OR&gt;85</t>
  </si>
  <si>
    <r>
      <t xml:space="preserve"> Data shows Emp Kpi score for Three Months.
</t>
    </r>
    <r>
      <rPr>
        <b/>
        <sz val="18"/>
        <color rgb="FFFF0000"/>
        <rFont val="Calibri"/>
        <family val="2"/>
        <scheme val="minor"/>
      </rPr>
      <t xml:space="preserve"> If</t>
    </r>
    <r>
      <rPr>
        <b/>
        <sz val="18"/>
        <color rgb="FF404040"/>
        <rFont val="Calibri"/>
        <family val="2"/>
        <scheme val="minor"/>
      </rPr>
      <t xml:space="preserve"> the Emp received a score of </t>
    </r>
    <r>
      <rPr>
        <b/>
        <sz val="18"/>
        <color rgb="FFFF0000"/>
        <rFont val="Calibri"/>
        <family val="2"/>
        <scheme val="minor"/>
      </rPr>
      <t>at least 85</t>
    </r>
    <r>
      <rPr>
        <b/>
        <sz val="18"/>
        <color rgb="FF404040"/>
        <rFont val="Calibri"/>
        <family val="2"/>
        <scheme val="minor"/>
      </rPr>
      <t xml:space="preserve"> in each Month, then  will display </t>
    </r>
    <r>
      <rPr>
        <b/>
        <sz val="18"/>
        <color rgb="FF00B050"/>
        <rFont val="Calibri"/>
        <family val="2"/>
        <scheme val="minor"/>
      </rPr>
      <t>Pass</t>
    </r>
    <r>
      <rPr>
        <b/>
        <sz val="18"/>
        <color rgb="FF404040"/>
        <rFont val="Calibri"/>
        <family val="2"/>
        <scheme val="minor"/>
      </rPr>
      <t xml:space="preserve">. Otherwise,  display </t>
    </r>
    <r>
      <rPr>
        <b/>
        <sz val="18"/>
        <color rgb="FFC00000"/>
        <rFont val="Calibri"/>
        <family val="2"/>
        <scheme val="minor"/>
      </rPr>
      <t>Rejected</t>
    </r>
    <r>
      <rPr>
        <b/>
        <sz val="18"/>
        <color rgb="FF404040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</si>
</sst>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</font>
    <font>
      <sz val="12"/>
      <color theme="0"/>
      <name val="Calibri"/>
      <family val="2"/>
    </font>
    <font>
      <sz val="12"/>
      <color indexed="81"/>
      <name val="Tahoma"/>
      <family val="2"/>
    </font>
    <font>
      <sz val="11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3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8"/>
      <color rgb="FF000000"/>
      <name val="Calibri"/>
      <family val="2"/>
    </font>
    <font>
      <b/>
      <i/>
      <sz val="12"/>
      <color rgb="FFFFFFFF"/>
      <name val="Calibri"/>
      <family val="2"/>
    </font>
    <font>
      <sz val="14"/>
      <color rgb="FFFF0000"/>
      <name val="Calibri"/>
      <family val="2"/>
      <scheme val="minor"/>
    </font>
    <font>
      <u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18"/>
      <color theme="0"/>
      <name val="Calibri"/>
      <family val="2"/>
    </font>
    <font>
      <b/>
      <i/>
      <sz val="16"/>
      <color theme="0"/>
      <name val="Calibri"/>
      <family val="2"/>
    </font>
    <font>
      <sz val="12"/>
      <color theme="3"/>
      <name val="Calibri"/>
      <family val="2"/>
      <scheme val="minor"/>
    </font>
    <font>
      <b/>
      <i/>
      <sz val="14"/>
      <color rgb="FFFFFFFF"/>
      <name val="Calibri"/>
      <family val="2"/>
    </font>
    <font>
      <b/>
      <sz val="14"/>
      <color rgb="FFFF0000"/>
      <name val="Calibri"/>
      <family val="2"/>
      <scheme val="minor"/>
    </font>
    <font>
      <b/>
      <sz val="18"/>
      <color rgb="FF40404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A4B3F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rgb="FF70AD47"/>
      </patternFill>
    </fill>
    <fill>
      <patternFill patternType="solid">
        <fgColor theme="5" tint="-0.499984740745262"/>
        <bgColor rgb="FF70AD47"/>
      </patternFill>
    </fill>
    <fill>
      <patternFill patternType="solid">
        <fgColor rgb="FFFFC000"/>
        <bgColor rgb="FFD8D8D8"/>
      </patternFill>
    </fill>
    <fill>
      <patternFill patternType="solid">
        <fgColor rgb="FF002060"/>
        <bgColor rgb="FFD8D8D8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2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1" fillId="0" borderId="6" xfId="1" applyFont="1" applyBorder="1" applyAlignment="1">
      <alignment horizontal="center" vertical="center"/>
    </xf>
    <xf numFmtId="0" fontId="13" fillId="5" borderId="5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5" xfId="3" applyNumberFormat="1" applyFont="1" applyFill="1" applyBorder="1" applyAlignment="1">
      <alignment horizontal="center" vertical="center"/>
    </xf>
    <xf numFmtId="0" fontId="13" fillId="6" borderId="1" xfId="3" applyNumberFormat="1" applyFont="1" applyFill="1" applyBorder="1" applyAlignment="1">
      <alignment horizontal="center" vertical="center"/>
    </xf>
    <xf numFmtId="0" fontId="13" fillId="5" borderId="1" xfId="3" applyNumberFormat="1" applyFont="1" applyFill="1" applyBorder="1" applyAlignment="1">
      <alignment horizontal="center" vertical="center"/>
    </xf>
    <xf numFmtId="0" fontId="14" fillId="5" borderId="1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6" fillId="8" borderId="4" xfId="2" applyFont="1" applyFill="1" applyBorder="1" applyAlignment="1">
      <alignment horizontal="center" vertical="center"/>
    </xf>
    <xf numFmtId="0" fontId="17" fillId="4" borderId="2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4" borderId="1" xfId="2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25" fillId="0" borderId="1" xfId="1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6" fillId="4" borderId="2" xfId="2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7" fillId="9" borderId="2" xfId="2" applyFont="1" applyFill="1" applyBorder="1" applyAlignment="1">
      <alignment horizontal="center" vertical="center" wrapText="1"/>
    </xf>
    <xf numFmtId="0" fontId="17" fillId="10" borderId="2" xfId="2" applyFont="1" applyFill="1" applyBorder="1" applyAlignment="1">
      <alignment horizontal="center" vertical="center" wrapText="1"/>
    </xf>
    <xf numFmtId="0" fontId="13" fillId="11" borderId="5" xfId="3" applyNumberFormat="1" applyFont="1" applyFill="1" applyBorder="1" applyAlignment="1">
      <alignment horizontal="center" vertical="center"/>
    </xf>
    <xf numFmtId="0" fontId="6" fillId="12" borderId="5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9" borderId="1" xfId="2" applyFont="1" applyFill="1" applyBorder="1" applyAlignment="1">
      <alignment horizontal="center" vertical="center" wrapText="1"/>
    </xf>
    <xf numFmtId="0" fontId="13" fillId="11" borderId="1" xfId="2" applyFont="1" applyFill="1" applyBorder="1" applyAlignment="1">
      <alignment horizontal="center" vertical="center"/>
    </xf>
    <xf numFmtId="9" fontId="25" fillId="0" borderId="1" xfId="4" applyFont="1" applyBorder="1" applyAlignment="1">
      <alignment horizontal="center"/>
    </xf>
    <xf numFmtId="0" fontId="33" fillId="8" borderId="4" xfId="2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9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/>
    </xf>
    <xf numFmtId="0" fontId="24" fillId="3" borderId="8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 wrapText="1"/>
    </xf>
    <xf numFmtId="0" fontId="28" fillId="0" borderId="14" xfId="0" applyFont="1" applyBorder="1" applyAlignment="1">
      <alignment horizontal="center" vertical="top" wrapText="1"/>
    </xf>
    <xf numFmtId="0" fontId="28" fillId="0" borderId="15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8" fillId="0" borderId="16" xfId="0" applyFont="1" applyBorder="1" applyAlignment="1">
      <alignment horizontal="center" vertical="top" wrapText="1"/>
    </xf>
    <xf numFmtId="0" fontId="28" fillId="0" borderId="17" xfId="0" applyFont="1" applyBorder="1" applyAlignment="1">
      <alignment horizontal="center" vertical="top" wrapText="1"/>
    </xf>
    <xf numFmtId="0" fontId="28" fillId="0" borderId="18" xfId="0" applyFont="1" applyBorder="1" applyAlignment="1">
      <alignment horizontal="center" vertical="top" wrapText="1"/>
    </xf>
    <xf numFmtId="0" fontId="28" fillId="0" borderId="19" xfId="0" applyFont="1" applyBorder="1" applyAlignment="1">
      <alignment horizontal="center" vertical="top" wrapText="1"/>
    </xf>
    <xf numFmtId="0" fontId="17" fillId="4" borderId="10" xfId="2" applyFont="1" applyFill="1" applyBorder="1" applyAlignment="1">
      <alignment horizontal="center" vertical="center" wrapText="1"/>
    </xf>
    <xf numFmtId="0" fontId="17" fillId="4" borderId="11" xfId="2" applyFont="1" applyFill="1" applyBorder="1" applyAlignment="1">
      <alignment horizontal="center" vertical="center" wrapText="1"/>
    </xf>
  </cellXfs>
  <cellStyles count="5">
    <cellStyle name="Comma 2" xfId="3" xr:uid="{0C35B4DE-7415-49A6-ACAF-F0EB64D67F94}"/>
    <cellStyle name="Heading 4" xfId="1" builtinId="19"/>
    <cellStyle name="Normal" xfId="0" builtinId="0"/>
    <cellStyle name="Normal 3" xfId="2" xr:uid="{150AE7CC-242D-4A6D-BB6D-15FA149D0599}"/>
    <cellStyle name="Percent" xfId="4" builtinId="5"/>
  </cellStyles>
  <dxfs count="1"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B34E-ECBC-4F5A-A6AD-BC7563E54845}">
  <dimension ref="A1:R107"/>
  <sheetViews>
    <sheetView topLeftCell="H4" zoomScaleNormal="100" workbookViewId="0">
      <selection activeCell="G9" sqref="G9"/>
    </sheetView>
  </sheetViews>
  <sheetFormatPr defaultColWidth="14.44140625" defaultRowHeight="15" customHeight="1" x14ac:dyDescent="0.3"/>
  <cols>
    <col min="1" max="1" width="8.5546875" style="1" customWidth="1"/>
    <col min="2" max="2" width="17.6640625" style="1" customWidth="1"/>
    <col min="3" max="3" width="12.33203125" style="1" bestFit="1" customWidth="1"/>
    <col min="4" max="4" width="12.109375" style="1" customWidth="1"/>
    <col min="5" max="5" width="14.6640625" style="1" customWidth="1"/>
    <col min="6" max="7" width="13.44140625" style="1" customWidth="1"/>
    <col min="8" max="8" width="14.33203125" style="1" customWidth="1"/>
    <col min="9" max="9" width="15" style="1" customWidth="1"/>
    <col min="10" max="10" width="5.109375" style="1" customWidth="1"/>
    <col min="11" max="12" width="16" style="1" customWidth="1"/>
    <col min="13" max="13" width="10.44140625" style="1" customWidth="1"/>
    <col min="14" max="14" width="16.44140625" style="1" bestFit="1" customWidth="1"/>
    <col min="15" max="15" width="16" style="1" customWidth="1"/>
    <col min="16" max="16384" width="14.44140625" style="1"/>
  </cols>
  <sheetData>
    <row r="1" spans="1:18" ht="27" customHeight="1" x14ac:dyDescent="0.3">
      <c r="A1" s="35" t="s">
        <v>8</v>
      </c>
      <c r="B1" s="36"/>
      <c r="C1" s="36"/>
      <c r="D1" s="36"/>
      <c r="E1" s="36"/>
      <c r="F1" s="36"/>
      <c r="G1" s="36"/>
      <c r="H1" s="36"/>
      <c r="I1" s="37"/>
    </row>
    <row r="2" spans="1:18" ht="27" customHeight="1" x14ac:dyDescent="0.3">
      <c r="A2" s="15">
        <v>1</v>
      </c>
      <c r="B2" s="11" t="s">
        <v>57</v>
      </c>
    </row>
    <row r="3" spans="1:18" ht="27" customHeight="1" x14ac:dyDescent="0.3">
      <c r="A3" s="15">
        <v>2</v>
      </c>
      <c r="B3" s="11" t="s">
        <v>53</v>
      </c>
      <c r="C3" s="12"/>
      <c r="D3" s="12"/>
      <c r="E3" s="12"/>
      <c r="F3" s="12"/>
      <c r="G3" s="12"/>
      <c r="H3" s="12"/>
      <c r="I3" s="12"/>
    </row>
    <row r="4" spans="1:18" ht="27" customHeight="1" x14ac:dyDescent="0.3">
      <c r="A4" s="15">
        <v>3</v>
      </c>
      <c r="B4" s="11" t="s">
        <v>55</v>
      </c>
      <c r="C4" s="11"/>
      <c r="D4" s="11"/>
      <c r="E4" s="11"/>
      <c r="F4" s="11"/>
      <c r="G4" s="11"/>
      <c r="H4" s="13" t="s">
        <v>0</v>
      </c>
      <c r="I4" s="13" t="s">
        <v>35</v>
      </c>
    </row>
    <row r="5" spans="1:18" ht="27" customHeight="1" x14ac:dyDescent="0.3">
      <c r="A5" s="15">
        <v>4</v>
      </c>
      <c r="B5" s="11" t="s">
        <v>36</v>
      </c>
      <c r="C5" s="11"/>
      <c r="D5" s="11"/>
      <c r="E5" s="11"/>
      <c r="F5" s="11"/>
      <c r="G5" s="11"/>
      <c r="H5" s="11"/>
      <c r="I5" s="12"/>
    </row>
    <row r="6" spans="1:18" ht="27" customHeight="1" thickBot="1" x14ac:dyDescent="0.35">
      <c r="A6" s="15">
        <v>5</v>
      </c>
      <c r="B6" s="11" t="s">
        <v>56</v>
      </c>
      <c r="C6" s="12"/>
      <c r="D6" s="12"/>
      <c r="E6" s="12"/>
      <c r="F6" s="12"/>
      <c r="G6" s="12"/>
      <c r="H6" s="12"/>
      <c r="I6" s="12"/>
    </row>
    <row r="7" spans="1:18" ht="31.8" thickBot="1" x14ac:dyDescent="0.35">
      <c r="A7" s="14" t="s">
        <v>9</v>
      </c>
      <c r="B7" s="14" t="s">
        <v>4</v>
      </c>
      <c r="C7" s="24" t="s">
        <v>10</v>
      </c>
      <c r="D7" s="23" t="s">
        <v>11</v>
      </c>
      <c r="E7" s="14" t="s">
        <v>54</v>
      </c>
      <c r="F7" s="14" t="s">
        <v>12</v>
      </c>
      <c r="G7" s="14" t="s">
        <v>37</v>
      </c>
      <c r="H7" s="14" t="s">
        <v>13</v>
      </c>
      <c r="I7" s="14" t="s">
        <v>14</v>
      </c>
      <c r="L7" s="21" t="s">
        <v>9</v>
      </c>
      <c r="M7" s="21" t="s">
        <v>62</v>
      </c>
      <c r="N7" s="21" t="s">
        <v>10</v>
      </c>
      <c r="R7" s="12"/>
    </row>
    <row r="8" spans="1:18" ht="19.5" customHeight="1" thickBot="1" x14ac:dyDescent="0.45">
      <c r="A8" s="5" t="s">
        <v>15</v>
      </c>
      <c r="B8" s="5" t="s">
        <v>16</v>
      </c>
      <c r="C8" s="25">
        <v>100330</v>
      </c>
      <c r="D8" s="26">
        <v>70000</v>
      </c>
      <c r="E8" s="2" t="str">
        <f>IF(C8&gt;200000,"YES","NO")</f>
        <v>NO</v>
      </c>
      <c r="F8" s="2" t="str">
        <f>IF(D8=C8,"Done","Below")</f>
        <v>Below</v>
      </c>
      <c r="G8" s="2" t="str">
        <f>IF(D8&gt;100000,"#","   ")</f>
        <v xml:space="preserve">   </v>
      </c>
      <c r="H8" s="2">
        <f>C8-D8</f>
        <v>30330</v>
      </c>
      <c r="I8" s="2">
        <f>IF(C8&gt;200000,C8*10%,C8*5%)</f>
        <v>5016.5</v>
      </c>
      <c r="K8" s="21" t="s">
        <v>3</v>
      </c>
      <c r="L8" s="22"/>
      <c r="M8" s="22"/>
      <c r="N8" s="22"/>
      <c r="R8" s="12"/>
    </row>
    <row r="9" spans="1:18" ht="19.5" customHeight="1" thickBot="1" x14ac:dyDescent="0.45">
      <c r="A9" s="6" t="s">
        <v>15</v>
      </c>
      <c r="B9" s="6" t="s">
        <v>17</v>
      </c>
      <c r="C9" s="7">
        <v>100450</v>
      </c>
      <c r="D9" s="9">
        <v>100450</v>
      </c>
      <c r="E9" s="2" t="str">
        <f t="shared" ref="E9:E19" si="0">IF(C9&gt;200000,"YES","NO")</f>
        <v>NO</v>
      </c>
      <c r="F9" s="2" t="str">
        <f t="shared" ref="F9:F19" si="1">IF(D9=C9,"Done","Below")</f>
        <v>Done</v>
      </c>
      <c r="G9" s="2" t="str">
        <f t="shared" ref="G9:G19" si="2">IF(D9&gt;100000,"#","   ")</f>
        <v>#</v>
      </c>
      <c r="H9" s="2">
        <f t="shared" ref="H9:H19" si="3">C9-D9</f>
        <v>0</v>
      </c>
      <c r="I9" s="2">
        <f t="shared" ref="I9:I19" si="4">IF(C9&gt;200000,C9*10%,C9*5%)</f>
        <v>5022.5</v>
      </c>
      <c r="K9" s="21" t="s">
        <v>2</v>
      </c>
      <c r="L9" s="22"/>
      <c r="M9" s="22"/>
      <c r="N9" s="22"/>
      <c r="R9" s="12"/>
    </row>
    <row r="10" spans="1:18" ht="21" customHeight="1" thickBot="1" x14ac:dyDescent="0.45">
      <c r="A10" s="6" t="s">
        <v>15</v>
      </c>
      <c r="B10" s="6" t="s">
        <v>18</v>
      </c>
      <c r="C10" s="9">
        <v>200850</v>
      </c>
      <c r="D10" s="9">
        <v>100900</v>
      </c>
      <c r="E10" s="2" t="str">
        <f t="shared" si="0"/>
        <v>YES</v>
      </c>
      <c r="F10" s="2" t="str">
        <f t="shared" si="1"/>
        <v>Below</v>
      </c>
      <c r="G10" s="2" t="str">
        <f t="shared" si="2"/>
        <v>#</v>
      </c>
      <c r="H10" s="2">
        <f t="shared" si="3"/>
        <v>99950</v>
      </c>
      <c r="I10" s="2">
        <f t="shared" si="4"/>
        <v>20085</v>
      </c>
      <c r="K10" s="21" t="s">
        <v>1</v>
      </c>
      <c r="L10" s="22"/>
      <c r="M10" s="22"/>
      <c r="N10" s="22"/>
      <c r="R10" s="12"/>
    </row>
    <row r="11" spans="1:18" ht="21" customHeight="1" x14ac:dyDescent="0.3">
      <c r="A11" s="6" t="s">
        <v>15</v>
      </c>
      <c r="B11" s="6" t="s">
        <v>19</v>
      </c>
      <c r="C11" s="9">
        <v>200550</v>
      </c>
      <c r="D11" s="9">
        <v>50600</v>
      </c>
      <c r="E11" s="2" t="str">
        <f t="shared" si="0"/>
        <v>YES</v>
      </c>
      <c r="F11" s="2" t="str">
        <f t="shared" si="1"/>
        <v>Below</v>
      </c>
      <c r="G11" s="2" t="str">
        <f t="shared" si="2"/>
        <v xml:space="preserve">   </v>
      </c>
      <c r="H11" s="2">
        <f t="shared" si="3"/>
        <v>149950</v>
      </c>
      <c r="I11" s="2">
        <f t="shared" si="4"/>
        <v>20055</v>
      </c>
    </row>
    <row r="12" spans="1:18" ht="21" customHeight="1" x14ac:dyDescent="0.3">
      <c r="A12" s="6" t="s">
        <v>20</v>
      </c>
      <c r="B12" s="6" t="s">
        <v>21</v>
      </c>
      <c r="C12" s="9">
        <v>200150</v>
      </c>
      <c r="D12" s="9">
        <v>200150</v>
      </c>
      <c r="E12" s="2" t="str">
        <f t="shared" si="0"/>
        <v>YES</v>
      </c>
      <c r="F12" s="2" t="str">
        <f t="shared" si="1"/>
        <v>Done</v>
      </c>
      <c r="G12" s="2" t="str">
        <f t="shared" si="2"/>
        <v>#</v>
      </c>
      <c r="H12" s="2">
        <f t="shared" si="3"/>
        <v>0</v>
      </c>
      <c r="I12" s="2">
        <f t="shared" si="4"/>
        <v>20015</v>
      </c>
    </row>
    <row r="13" spans="1:18" ht="21" customHeight="1" x14ac:dyDescent="0.3">
      <c r="A13" s="6" t="s">
        <v>20</v>
      </c>
      <c r="B13" s="6" t="s">
        <v>6</v>
      </c>
      <c r="C13" s="8">
        <v>200740</v>
      </c>
      <c r="D13" s="9">
        <v>50800</v>
      </c>
      <c r="E13" s="2" t="str">
        <f t="shared" si="0"/>
        <v>YES</v>
      </c>
      <c r="F13" s="2" t="str">
        <f t="shared" si="1"/>
        <v>Below</v>
      </c>
      <c r="G13" s="2" t="str">
        <f t="shared" si="2"/>
        <v xml:space="preserve">   </v>
      </c>
      <c r="H13" s="2">
        <f t="shared" si="3"/>
        <v>149940</v>
      </c>
      <c r="I13" s="2">
        <f t="shared" si="4"/>
        <v>20074</v>
      </c>
    </row>
    <row r="14" spans="1:18" ht="21" customHeight="1" x14ac:dyDescent="0.3">
      <c r="A14" s="6" t="s">
        <v>20</v>
      </c>
      <c r="B14" s="6" t="s">
        <v>5</v>
      </c>
      <c r="C14" s="9">
        <v>200200</v>
      </c>
      <c r="D14" s="9">
        <v>80220</v>
      </c>
      <c r="E14" s="2" t="str">
        <f t="shared" si="0"/>
        <v>YES</v>
      </c>
      <c r="F14" s="2" t="str">
        <f t="shared" si="1"/>
        <v>Below</v>
      </c>
      <c r="G14" s="2" t="str">
        <f t="shared" si="2"/>
        <v xml:space="preserve">   </v>
      </c>
      <c r="H14" s="2">
        <f t="shared" si="3"/>
        <v>119980</v>
      </c>
      <c r="I14" s="2">
        <f t="shared" si="4"/>
        <v>20020</v>
      </c>
    </row>
    <row r="15" spans="1:18" ht="21" customHeight="1" x14ac:dyDescent="0.3">
      <c r="A15" s="6" t="s">
        <v>20</v>
      </c>
      <c r="B15" s="6" t="s">
        <v>7</v>
      </c>
      <c r="C15" s="10">
        <v>152000</v>
      </c>
      <c r="D15" s="9">
        <v>80921.58</v>
      </c>
      <c r="E15" s="2" t="str">
        <f t="shared" si="0"/>
        <v>NO</v>
      </c>
      <c r="F15" s="2" t="str">
        <f t="shared" si="1"/>
        <v>Below</v>
      </c>
      <c r="G15" s="2" t="str">
        <f t="shared" si="2"/>
        <v xml:space="preserve">   </v>
      </c>
      <c r="H15" s="2">
        <f t="shared" si="3"/>
        <v>71078.42</v>
      </c>
      <c r="I15" s="2">
        <f t="shared" si="4"/>
        <v>7600</v>
      </c>
    </row>
    <row r="16" spans="1:18" ht="21" customHeight="1" x14ac:dyDescent="0.3">
      <c r="A16" s="6" t="s">
        <v>22</v>
      </c>
      <c r="B16" s="6" t="s">
        <v>23</v>
      </c>
      <c r="C16" s="8">
        <v>150375</v>
      </c>
      <c r="D16" s="9">
        <v>80324.98</v>
      </c>
      <c r="E16" s="2" t="str">
        <f t="shared" si="0"/>
        <v>NO</v>
      </c>
      <c r="F16" s="2" t="str">
        <f t="shared" si="1"/>
        <v>Below</v>
      </c>
      <c r="G16" s="2" t="str">
        <f t="shared" si="2"/>
        <v xml:space="preserve">   </v>
      </c>
      <c r="H16" s="2">
        <f t="shared" si="3"/>
        <v>70050.02</v>
      </c>
      <c r="I16" s="2">
        <f t="shared" si="4"/>
        <v>7518.75</v>
      </c>
    </row>
    <row r="17" spans="1:9" ht="21" customHeight="1" x14ac:dyDescent="0.3">
      <c r="A17" s="6" t="s">
        <v>22</v>
      </c>
      <c r="B17" s="6" t="s">
        <v>24</v>
      </c>
      <c r="C17" s="8">
        <v>151200</v>
      </c>
      <c r="D17" s="9">
        <v>121100</v>
      </c>
      <c r="E17" s="2" t="str">
        <f t="shared" si="0"/>
        <v>NO</v>
      </c>
      <c r="F17" s="2" t="str">
        <f t="shared" si="1"/>
        <v>Below</v>
      </c>
      <c r="G17" s="2" t="str">
        <f t="shared" si="2"/>
        <v>#</v>
      </c>
      <c r="H17" s="2">
        <f t="shared" si="3"/>
        <v>30100</v>
      </c>
      <c r="I17" s="2">
        <f t="shared" si="4"/>
        <v>7560</v>
      </c>
    </row>
    <row r="18" spans="1:9" ht="21" customHeight="1" x14ac:dyDescent="0.3">
      <c r="A18" s="6" t="s">
        <v>22</v>
      </c>
      <c r="B18" s="6" t="s">
        <v>25</v>
      </c>
      <c r="C18" s="8">
        <v>150200</v>
      </c>
      <c r="D18" s="9">
        <v>120190</v>
      </c>
      <c r="E18" s="2" t="str">
        <f t="shared" si="0"/>
        <v>NO</v>
      </c>
      <c r="F18" s="2" t="str">
        <f t="shared" si="1"/>
        <v>Below</v>
      </c>
      <c r="G18" s="2" t="str">
        <f t="shared" si="2"/>
        <v>#</v>
      </c>
      <c r="H18" s="2">
        <f t="shared" si="3"/>
        <v>30010</v>
      </c>
      <c r="I18" s="2">
        <f t="shared" si="4"/>
        <v>7510</v>
      </c>
    </row>
    <row r="19" spans="1:9" ht="21" customHeight="1" x14ac:dyDescent="0.3">
      <c r="A19" s="6" t="s">
        <v>22</v>
      </c>
      <c r="B19" s="6" t="s">
        <v>26</v>
      </c>
      <c r="C19" s="8">
        <v>150150</v>
      </c>
      <c r="D19" s="9">
        <v>120128</v>
      </c>
      <c r="E19" s="2" t="str">
        <f t="shared" si="0"/>
        <v>NO</v>
      </c>
      <c r="F19" s="2" t="str">
        <f t="shared" si="1"/>
        <v>Below</v>
      </c>
      <c r="G19" s="2" t="str">
        <f t="shared" si="2"/>
        <v>#</v>
      </c>
      <c r="H19" s="2">
        <f t="shared" si="3"/>
        <v>30022</v>
      </c>
      <c r="I19" s="2">
        <f t="shared" si="4"/>
        <v>7507.5</v>
      </c>
    </row>
    <row r="20" spans="1:9" ht="21" customHeight="1" x14ac:dyDescent="0.3"/>
    <row r="21" spans="1:9" ht="21" customHeight="1" x14ac:dyDescent="0.3"/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</sheetData>
  <mergeCells count="1">
    <mergeCell ref="A1:I1"/>
  </mergeCells>
  <conditionalFormatting sqref="L8:N10">
    <cfRule type="expression" dxfId="0" priority="1">
      <formula>#REF!&gt;75000</formula>
    </cfRule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01A1-C822-4785-A8DB-0A35986AAF45}">
  <dimension ref="A1:Q21"/>
  <sheetViews>
    <sheetView zoomScale="115" zoomScaleNormal="115" workbookViewId="0">
      <selection activeCell="H16" sqref="H16"/>
    </sheetView>
  </sheetViews>
  <sheetFormatPr defaultRowHeight="14.4" x14ac:dyDescent="0.3"/>
  <cols>
    <col min="1" max="1" width="18.44140625" bestFit="1" customWidth="1"/>
    <col min="2" max="3" width="8.109375" customWidth="1"/>
    <col min="4" max="4" width="7" bestFit="1" customWidth="1"/>
    <col min="5" max="5" width="10" customWidth="1"/>
    <col min="6" max="6" width="13" customWidth="1"/>
    <col min="7" max="7" width="9.44140625" customWidth="1"/>
    <col min="8" max="8" width="12.44140625" customWidth="1"/>
    <col min="9" max="9" width="2" customWidth="1"/>
    <col min="10" max="11" width="14.33203125" bestFit="1" customWidth="1"/>
    <col min="13" max="13" width="10.33203125" bestFit="1" customWidth="1"/>
    <col min="14" max="14" width="7.109375" customWidth="1"/>
    <col min="15" max="15" width="6.6640625" customWidth="1"/>
    <col min="17" max="17" width="15.109375" customWidth="1"/>
  </cols>
  <sheetData>
    <row r="1" spans="1:17" ht="21.75" customHeight="1" x14ac:dyDescent="0.3">
      <c r="A1" s="39" t="s">
        <v>52</v>
      </c>
      <c r="B1" s="40"/>
      <c r="C1" s="40"/>
      <c r="D1" s="40"/>
      <c r="E1" s="40"/>
      <c r="F1" s="40"/>
      <c r="G1" s="40"/>
      <c r="H1" s="41"/>
    </row>
    <row r="2" spans="1:17" ht="16.5" customHeight="1" thickBot="1" x14ac:dyDescent="0.35">
      <c r="J2" s="38" t="s">
        <v>27</v>
      </c>
      <c r="K2" s="38"/>
      <c r="L2" s="38"/>
      <c r="M2" s="38"/>
      <c r="N2" s="38"/>
    </row>
    <row r="3" spans="1:17" ht="16.5" customHeight="1" thickBot="1" x14ac:dyDescent="0.35">
      <c r="A3" s="42" t="s">
        <v>67</v>
      </c>
      <c r="B3" s="43"/>
      <c r="C3" s="43"/>
      <c r="D3" s="43"/>
      <c r="E3" s="43"/>
      <c r="F3" s="43"/>
      <c r="G3" s="43"/>
      <c r="H3" s="44"/>
      <c r="J3" s="14" t="s">
        <v>4</v>
      </c>
      <c r="K3" s="14" t="s">
        <v>28</v>
      </c>
      <c r="L3" s="14" t="s">
        <v>29</v>
      </c>
      <c r="M3" s="14" t="s">
        <v>30</v>
      </c>
      <c r="N3" s="14" t="s">
        <v>31</v>
      </c>
    </row>
    <row r="4" spans="1:17" ht="16.5" customHeight="1" x14ac:dyDescent="0.3">
      <c r="A4" s="45"/>
      <c r="B4" s="46"/>
      <c r="C4" s="46"/>
      <c r="D4" s="46"/>
      <c r="E4" s="46"/>
      <c r="F4" s="46"/>
      <c r="G4" s="46"/>
      <c r="H4" s="47"/>
      <c r="J4" s="4" t="s">
        <v>32</v>
      </c>
      <c r="K4" s="4">
        <v>89</v>
      </c>
      <c r="L4" s="4">
        <v>77</v>
      </c>
      <c r="M4" s="2" t="b">
        <f>AND(K4&gt;70,L4&gt;70)</f>
        <v>1</v>
      </c>
      <c r="N4" s="2" t="b">
        <f>OR(K4&gt;70,L4&gt;70)</f>
        <v>1</v>
      </c>
    </row>
    <row r="5" spans="1:17" ht="16.5" customHeight="1" x14ac:dyDescent="0.3">
      <c r="A5" s="45"/>
      <c r="B5" s="46"/>
      <c r="C5" s="46"/>
      <c r="D5" s="46"/>
      <c r="E5" s="46"/>
      <c r="F5" s="46"/>
      <c r="G5" s="46"/>
      <c r="H5" s="47"/>
      <c r="J5" s="4" t="s">
        <v>33</v>
      </c>
      <c r="K5" s="4">
        <v>56</v>
      </c>
      <c r="L5" s="4">
        <v>81</v>
      </c>
      <c r="M5" s="2" t="b">
        <f t="shared" ref="M5:M6" si="0">AND(K5&gt;70,L5&gt;70)</f>
        <v>0</v>
      </c>
      <c r="N5" s="2" t="b">
        <f t="shared" ref="N5:N6" si="1">OR(K5&gt;70,L5&gt;70)</f>
        <v>1</v>
      </c>
    </row>
    <row r="6" spans="1:17" ht="16.5" customHeight="1" x14ac:dyDescent="0.3">
      <c r="A6" s="45"/>
      <c r="B6" s="46"/>
      <c r="C6" s="46"/>
      <c r="D6" s="46"/>
      <c r="E6" s="46"/>
      <c r="F6" s="46"/>
      <c r="G6" s="46"/>
      <c r="H6" s="47"/>
      <c r="J6" s="4" t="s">
        <v>34</v>
      </c>
      <c r="K6" s="4">
        <v>71</v>
      </c>
      <c r="L6" s="4">
        <v>65</v>
      </c>
      <c r="M6" s="2" t="b">
        <f t="shared" si="0"/>
        <v>0</v>
      </c>
      <c r="N6" s="2" t="b">
        <f t="shared" si="1"/>
        <v>1</v>
      </c>
    </row>
    <row r="7" spans="1:17" ht="16.5" customHeight="1" thickBot="1" x14ac:dyDescent="0.35">
      <c r="A7" s="48"/>
      <c r="B7" s="49"/>
      <c r="C7" s="49"/>
      <c r="D7" s="49"/>
      <c r="E7" s="49"/>
      <c r="F7" s="49"/>
      <c r="G7" s="49"/>
      <c r="H7" s="50"/>
    </row>
    <row r="8" spans="1:17" ht="15" thickBot="1" x14ac:dyDescent="0.35">
      <c r="B8" s="27"/>
      <c r="C8" s="27"/>
      <c r="D8" s="27"/>
    </row>
    <row r="9" spans="1:17" ht="21" customHeight="1" thickBot="1" x14ac:dyDescent="0.35">
      <c r="A9" s="14" t="s">
        <v>39</v>
      </c>
      <c r="B9" s="14" t="s">
        <v>28</v>
      </c>
      <c r="C9" s="14" t="s">
        <v>40</v>
      </c>
      <c r="D9" s="14" t="s">
        <v>41</v>
      </c>
      <c r="E9" s="31" t="s">
        <v>63</v>
      </c>
      <c r="F9" s="14" t="s">
        <v>64</v>
      </c>
      <c r="G9" s="31" t="s">
        <v>65</v>
      </c>
      <c r="H9" s="14" t="s">
        <v>66</v>
      </c>
      <c r="O9" s="17"/>
    </row>
    <row r="10" spans="1:17" ht="15.6" x14ac:dyDescent="0.3">
      <c r="A10" s="6" t="s">
        <v>16</v>
      </c>
      <c r="B10" s="6">
        <v>89</v>
      </c>
      <c r="C10" s="6">
        <v>77</v>
      </c>
      <c r="D10" s="6">
        <v>92</v>
      </c>
      <c r="E10" s="2" t="str">
        <f>IF(AND(B10&gt;85,C10&gt;85,D10&gt;85),"PASS","Reject ")</f>
        <v xml:space="preserve">Reject </v>
      </c>
      <c r="F10" s="2"/>
      <c r="G10" s="2"/>
      <c r="H10" s="2" t="str">
        <f>IF(OR(B10&gt;85,C10&gt;85,D10&gt;85),"Pass","Rejected")</f>
        <v>Pass</v>
      </c>
      <c r="O10" s="17"/>
    </row>
    <row r="11" spans="1:17" ht="15" customHeight="1" x14ac:dyDescent="0.3">
      <c r="A11" s="6" t="s">
        <v>17</v>
      </c>
      <c r="B11" s="6">
        <v>56</v>
      </c>
      <c r="C11" s="6">
        <v>81</v>
      </c>
      <c r="D11" s="6">
        <v>73</v>
      </c>
      <c r="E11" s="2" t="str">
        <f t="shared" ref="E11:E21" si="2">IF(AND(B11&gt;85,C11&gt;85,D11&gt;85),"PASS","Reject ")</f>
        <v xml:space="preserve">Reject </v>
      </c>
      <c r="F11" s="2"/>
      <c r="G11" s="2"/>
      <c r="H11" s="2" t="str">
        <f t="shared" ref="H11:H21" si="3">IF(OR(B11&gt;85,C11&gt;85,D11&gt;85),"Pass","Rejected")</f>
        <v>Rejected</v>
      </c>
      <c r="O11" s="17"/>
      <c r="P11" s="3"/>
      <c r="Q11" s="3"/>
    </row>
    <row r="12" spans="1:17" ht="15.6" x14ac:dyDescent="0.3">
      <c r="A12" s="6" t="s">
        <v>18</v>
      </c>
      <c r="B12" s="6">
        <v>68</v>
      </c>
      <c r="C12" s="6">
        <v>65</v>
      </c>
      <c r="D12" s="6">
        <v>71</v>
      </c>
      <c r="E12" s="2" t="str">
        <f t="shared" si="2"/>
        <v xml:space="preserve">Reject </v>
      </c>
      <c r="F12" s="2"/>
      <c r="G12" s="2"/>
      <c r="H12" s="2" t="str">
        <f t="shared" si="3"/>
        <v>Rejected</v>
      </c>
      <c r="O12" s="17"/>
      <c r="P12" s="3"/>
      <c r="Q12" s="3"/>
    </row>
    <row r="13" spans="1:17" ht="15.6" x14ac:dyDescent="0.3">
      <c r="A13" s="6" t="s">
        <v>19</v>
      </c>
      <c r="B13" s="6">
        <v>76</v>
      </c>
      <c r="C13" s="6">
        <v>71</v>
      </c>
      <c r="D13" s="6">
        <v>74</v>
      </c>
      <c r="E13" s="2" t="str">
        <f t="shared" si="2"/>
        <v xml:space="preserve">Reject </v>
      </c>
      <c r="F13" s="2"/>
      <c r="G13" s="2"/>
      <c r="H13" s="2" t="str">
        <f t="shared" si="3"/>
        <v>Rejected</v>
      </c>
      <c r="O13" s="17"/>
      <c r="P13" s="3"/>
      <c r="Q13" s="3"/>
    </row>
    <row r="14" spans="1:17" ht="15.6" x14ac:dyDescent="0.3">
      <c r="A14" s="6" t="s">
        <v>21</v>
      </c>
      <c r="B14" s="6">
        <v>88</v>
      </c>
      <c r="C14" s="6">
        <v>68</v>
      </c>
      <c r="D14" s="6">
        <v>79</v>
      </c>
      <c r="E14" s="2" t="str">
        <f t="shared" si="2"/>
        <v xml:space="preserve">Reject </v>
      </c>
      <c r="F14" s="2"/>
      <c r="G14" s="2"/>
      <c r="H14" s="2" t="str">
        <f t="shared" si="3"/>
        <v>Pass</v>
      </c>
      <c r="P14" s="3"/>
      <c r="Q14" s="3"/>
    </row>
    <row r="15" spans="1:17" ht="15.6" x14ac:dyDescent="0.3">
      <c r="A15" s="6" t="s">
        <v>6</v>
      </c>
      <c r="B15" s="6">
        <v>95</v>
      </c>
      <c r="C15" s="6">
        <v>99</v>
      </c>
      <c r="D15" s="6">
        <v>92</v>
      </c>
      <c r="E15" s="2" t="str">
        <f t="shared" si="2"/>
        <v>PASS</v>
      </c>
      <c r="F15" s="2"/>
      <c r="G15" s="2"/>
      <c r="H15" s="2" t="str">
        <f t="shared" si="3"/>
        <v>Pass</v>
      </c>
    </row>
    <row r="16" spans="1:17" ht="15.6" x14ac:dyDescent="0.3">
      <c r="A16" s="6" t="s">
        <v>5</v>
      </c>
      <c r="B16" s="6">
        <v>70</v>
      </c>
      <c r="C16" s="6">
        <v>79</v>
      </c>
      <c r="D16" s="6">
        <v>77</v>
      </c>
      <c r="E16" s="2" t="str">
        <f t="shared" si="2"/>
        <v xml:space="preserve">Reject </v>
      </c>
      <c r="F16" s="2"/>
      <c r="G16" s="2"/>
      <c r="H16" s="2" t="str">
        <f t="shared" si="3"/>
        <v>Rejected</v>
      </c>
    </row>
    <row r="17" spans="1:8" ht="15.6" x14ac:dyDescent="0.3">
      <c r="A17" s="6" t="s">
        <v>7</v>
      </c>
      <c r="B17" s="6">
        <v>87</v>
      </c>
      <c r="C17" s="6">
        <v>75</v>
      </c>
      <c r="D17" s="6">
        <v>90</v>
      </c>
      <c r="E17" s="2" t="str">
        <f t="shared" si="2"/>
        <v xml:space="preserve">Reject </v>
      </c>
      <c r="F17" s="2"/>
      <c r="G17" s="2"/>
      <c r="H17" s="2" t="str">
        <f t="shared" si="3"/>
        <v>Pass</v>
      </c>
    </row>
    <row r="18" spans="1:8" ht="15.6" x14ac:dyDescent="0.3">
      <c r="A18" s="6" t="s">
        <v>23</v>
      </c>
      <c r="B18" s="6">
        <v>54</v>
      </c>
      <c r="C18" s="6">
        <v>79</v>
      </c>
      <c r="D18" s="6">
        <v>71</v>
      </c>
      <c r="E18" s="2" t="str">
        <f t="shared" si="2"/>
        <v xml:space="preserve">Reject </v>
      </c>
      <c r="F18" s="2"/>
      <c r="G18" s="2"/>
      <c r="H18" s="2" t="str">
        <f t="shared" si="3"/>
        <v>Rejected</v>
      </c>
    </row>
    <row r="19" spans="1:8" ht="15.6" x14ac:dyDescent="0.3">
      <c r="A19" s="6" t="s">
        <v>24</v>
      </c>
      <c r="B19" s="6">
        <v>66</v>
      </c>
      <c r="C19" s="6">
        <v>63</v>
      </c>
      <c r="D19" s="6">
        <v>69</v>
      </c>
      <c r="E19" s="2" t="str">
        <f t="shared" si="2"/>
        <v xml:space="preserve">Reject </v>
      </c>
      <c r="F19" s="2"/>
      <c r="G19" s="2"/>
      <c r="H19" s="2" t="str">
        <f t="shared" si="3"/>
        <v>Rejected</v>
      </c>
    </row>
    <row r="20" spans="1:8" ht="15.6" x14ac:dyDescent="0.3">
      <c r="A20" s="6" t="s">
        <v>25</v>
      </c>
      <c r="B20" s="6">
        <v>74</v>
      </c>
      <c r="C20" s="6">
        <v>69</v>
      </c>
      <c r="D20" s="6">
        <v>72</v>
      </c>
      <c r="E20" s="2" t="str">
        <f t="shared" si="2"/>
        <v xml:space="preserve">Reject </v>
      </c>
      <c r="F20" s="2"/>
      <c r="G20" s="2"/>
      <c r="H20" s="2" t="str">
        <f t="shared" si="3"/>
        <v>Rejected</v>
      </c>
    </row>
    <row r="21" spans="1:8" ht="15.6" x14ac:dyDescent="0.3">
      <c r="A21" s="6" t="s">
        <v>26</v>
      </c>
      <c r="B21" s="6">
        <v>86</v>
      </c>
      <c r="C21" s="6">
        <v>66</v>
      </c>
      <c r="D21" s="6">
        <v>77</v>
      </c>
      <c r="E21" s="2" t="str">
        <f t="shared" si="2"/>
        <v xml:space="preserve">Reject </v>
      </c>
      <c r="F21" s="2"/>
      <c r="G21" s="2"/>
      <c r="H21" s="2" t="str">
        <f t="shared" si="3"/>
        <v>Pass</v>
      </c>
    </row>
  </sheetData>
  <mergeCells count="3">
    <mergeCell ref="J2:N2"/>
    <mergeCell ref="A1:H1"/>
    <mergeCell ref="A3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3867-D88C-46FD-911A-226611343BB3}">
  <dimension ref="A1:G15"/>
  <sheetViews>
    <sheetView tabSelected="1" zoomScale="160" zoomScaleNormal="160" workbookViewId="0">
      <selection activeCell="B4" sqref="B4"/>
    </sheetView>
  </sheetViews>
  <sheetFormatPr defaultRowHeight="14.4" x14ac:dyDescent="0.3"/>
  <cols>
    <col min="1" max="1" width="20.88671875" bestFit="1" customWidth="1"/>
    <col min="2" max="2" width="16.88671875" customWidth="1"/>
    <col min="3" max="4" width="11.5546875" customWidth="1"/>
  </cols>
  <sheetData>
    <row r="1" spans="1:7" ht="21" x14ac:dyDescent="0.3">
      <c r="A1" s="39" t="s">
        <v>51</v>
      </c>
      <c r="B1" s="40"/>
      <c r="C1" s="40"/>
      <c r="D1" s="40"/>
      <c r="E1" s="40"/>
      <c r="F1" s="41"/>
    </row>
    <row r="3" spans="1:7" ht="18" customHeight="1" x14ac:dyDescent="0.3">
      <c r="A3" s="16" t="s">
        <v>39</v>
      </c>
      <c r="B3" s="16" t="s">
        <v>28</v>
      </c>
      <c r="C3" s="28" t="s">
        <v>51</v>
      </c>
      <c r="D3" s="28" t="s">
        <v>51</v>
      </c>
      <c r="F3" s="51" t="s">
        <v>38</v>
      </c>
      <c r="G3" s="52"/>
    </row>
    <row r="4" spans="1:7" ht="15" customHeight="1" x14ac:dyDescent="0.3">
      <c r="A4" s="6" t="s">
        <v>16</v>
      </c>
      <c r="B4" s="29">
        <v>89</v>
      </c>
      <c r="C4" s="18" t="str" cm="1">
        <f t="array" ref="C4">_xlfn.IFS(B4&gt;90,"Ex", B4&gt;80,"VG", B4&gt;70,"G", B4&gt;60,"P", B4&lt;60,"F")</f>
        <v>VG</v>
      </c>
      <c r="D4" s="30"/>
      <c r="F4" s="20" t="s">
        <v>42</v>
      </c>
      <c r="G4" s="20" t="s">
        <v>46</v>
      </c>
    </row>
    <row r="5" spans="1:7" ht="15" customHeight="1" x14ac:dyDescent="0.3">
      <c r="A5" s="6" t="s">
        <v>17</v>
      </c>
      <c r="B5" s="6">
        <v>56</v>
      </c>
      <c r="C5" s="18" t="str" cm="1">
        <f t="array" ref="C5">_xlfn.IFS(B5&gt;90,"Ex", B5&gt;80,"VG", B5&gt;70,"G", B5&gt;60,"P", TRUE,"F")</f>
        <v>F</v>
      </c>
      <c r="D5" s="30"/>
      <c r="F5" s="20" t="s">
        <v>43</v>
      </c>
      <c r="G5" s="20" t="s">
        <v>47</v>
      </c>
    </row>
    <row r="6" spans="1:7" ht="15" customHeight="1" x14ac:dyDescent="0.3">
      <c r="A6" s="6" t="s">
        <v>18</v>
      </c>
      <c r="B6" s="6">
        <v>68</v>
      </c>
      <c r="C6" s="18" t="str" cm="1">
        <f t="array" ref="C6">_xlfn.IFS(B6&gt;90,"Ex", B6&gt;80,"VG", B6&gt;70,"G", B6&gt;60,"P", TRUE,"F")</f>
        <v>P</v>
      </c>
      <c r="D6" s="30"/>
      <c r="F6" s="20" t="s">
        <v>44</v>
      </c>
      <c r="G6" s="20" t="s">
        <v>48</v>
      </c>
    </row>
    <row r="7" spans="1:7" ht="15" customHeight="1" x14ac:dyDescent="0.3">
      <c r="A7" s="6" t="s">
        <v>19</v>
      </c>
      <c r="B7" s="6">
        <v>76</v>
      </c>
      <c r="C7" s="18" t="str" cm="1">
        <f t="array" ref="C7">_xlfn.IFS(B7&gt;90,"Ex", B7&gt;80,"VG", B7&gt;70,"G", B7&gt;60,"P", TRUE,"F")</f>
        <v>G</v>
      </c>
      <c r="D7" s="30"/>
      <c r="F7" s="20" t="s">
        <v>45</v>
      </c>
      <c r="G7" s="20" t="s">
        <v>49</v>
      </c>
    </row>
    <row r="8" spans="1:7" ht="15" customHeight="1" x14ac:dyDescent="0.3">
      <c r="A8" s="6" t="s">
        <v>21</v>
      </c>
      <c r="B8" s="6">
        <v>88</v>
      </c>
      <c r="C8" s="18" t="str" cm="1">
        <f t="array" ref="C8">_xlfn.IFS(B8&gt;90,"Ex", B8&gt;80,"VG", B8&gt;70,"G", B8&gt;60,"P", TRUE,"F")</f>
        <v>VG</v>
      </c>
      <c r="D8" s="30"/>
      <c r="F8" s="20"/>
      <c r="G8" s="20" t="s">
        <v>50</v>
      </c>
    </row>
    <row r="9" spans="1:7" ht="15" customHeight="1" x14ac:dyDescent="0.3">
      <c r="A9" s="6" t="s">
        <v>6</v>
      </c>
      <c r="B9" s="6">
        <v>95</v>
      </c>
      <c r="C9" s="18" t="str" cm="1">
        <f t="array" ref="C9">_xlfn.IFS(B9&gt;90,"Ex", B9&gt;80,"VG", B9&gt;70,"G", B9&gt;60,"P", TRUE,"F")</f>
        <v>Ex</v>
      </c>
      <c r="D9" s="30"/>
      <c r="F9" s="19"/>
      <c r="G9" s="19"/>
    </row>
    <row r="10" spans="1:7" ht="15" customHeight="1" x14ac:dyDescent="0.3">
      <c r="A10" s="6" t="s">
        <v>5</v>
      </c>
      <c r="B10" s="6">
        <v>70</v>
      </c>
      <c r="C10" s="18" t="str" cm="1">
        <f t="array" ref="C10">_xlfn.IFS(B10&gt;90,"Ex", B10&gt;80,"VG", B10&gt;70,"G", B10&gt;60,"P", TRUE,"F")</f>
        <v>P</v>
      </c>
      <c r="D10" s="30"/>
      <c r="F10" s="32" t="s">
        <v>58</v>
      </c>
      <c r="G10" s="33">
        <v>0.12</v>
      </c>
    </row>
    <row r="11" spans="1:7" ht="15" customHeight="1" x14ac:dyDescent="0.3">
      <c r="A11" s="6" t="s">
        <v>7</v>
      </c>
      <c r="B11" s="6">
        <v>87</v>
      </c>
      <c r="C11" s="18" t="str" cm="1">
        <f t="array" ref="C11">_xlfn.IFS(B11&gt;90,"Ex", B11&gt;80,"VG", B11&gt;70,"G", B11&gt;60,"P", TRUE,"F")</f>
        <v>VG</v>
      </c>
      <c r="D11" s="30"/>
      <c r="F11" s="34" t="s">
        <v>61</v>
      </c>
      <c r="G11" s="33">
        <v>0.08</v>
      </c>
    </row>
    <row r="12" spans="1:7" ht="15" customHeight="1" x14ac:dyDescent="0.3">
      <c r="A12" s="6" t="s">
        <v>23</v>
      </c>
      <c r="B12" s="6">
        <v>54</v>
      </c>
      <c r="C12" s="18" t="str" cm="1">
        <f t="array" ref="C12">_xlfn.IFS(B12&gt;90,"Ex", B12&gt;80,"VG", B12&gt;70,"G", B12&gt;60,"P", TRUE,"F")</f>
        <v>F</v>
      </c>
      <c r="D12" s="30"/>
      <c r="F12" s="34" t="s">
        <v>60</v>
      </c>
      <c r="G12" s="33">
        <v>0.05</v>
      </c>
    </row>
    <row r="13" spans="1:7" ht="15" customHeight="1" x14ac:dyDescent="0.3">
      <c r="A13" s="6" t="s">
        <v>24</v>
      </c>
      <c r="B13" s="6">
        <v>66</v>
      </c>
      <c r="C13" s="18" t="str" cm="1">
        <f t="array" ref="C13">_xlfn.IFS(B13&gt;90,"Ex", B13&gt;80,"VG", B13&gt;70,"G", B13&gt;60,"P", TRUE,"F")</f>
        <v>P</v>
      </c>
      <c r="D13" s="30"/>
      <c r="F13" s="34" t="s">
        <v>59</v>
      </c>
      <c r="G13" s="33">
        <v>0.03</v>
      </c>
    </row>
    <row r="14" spans="1:7" ht="15" customHeight="1" x14ac:dyDescent="0.3">
      <c r="A14" s="6" t="s">
        <v>25</v>
      </c>
      <c r="B14" s="6">
        <v>74</v>
      </c>
      <c r="C14" s="18" t="str" cm="1">
        <f t="array" ref="C14">_xlfn.IFS(B14&gt;90,"Ex", B14&gt;80,"VG", B14&gt;70,"G", B14&gt;60,"P", TRUE,"F")</f>
        <v>G</v>
      </c>
      <c r="D14" s="30"/>
    </row>
    <row r="15" spans="1:7" ht="15" customHeight="1" x14ac:dyDescent="0.3">
      <c r="A15" s="6" t="s">
        <v>26</v>
      </c>
      <c r="B15" s="6">
        <v>86</v>
      </c>
      <c r="C15" s="18" t="str" cm="1">
        <f t="array" ref="C15">_xlfn.IFS(B15&gt;90,"Ex", B15&gt;80,"VG", B15&gt;70,"G", B15&gt;60,"P", TRUE,"F")</f>
        <v>VG</v>
      </c>
      <c r="D15" s="30"/>
    </row>
  </sheetData>
  <mergeCells count="2">
    <mergeCell ref="A1:F1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 with AND</vt:lpstr>
      <vt:lpstr>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mostafa hamed</cp:lastModifiedBy>
  <dcterms:created xsi:type="dcterms:W3CDTF">2012-06-07T11:41:41Z</dcterms:created>
  <dcterms:modified xsi:type="dcterms:W3CDTF">2025-05-09T11:49:06Z</dcterms:modified>
</cp:coreProperties>
</file>